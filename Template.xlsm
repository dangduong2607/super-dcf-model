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ACD0DDFE-3645-472F-A192-160345984CEE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1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7" i="1" l="1" a="1"/>
  <c r="C301" i="1" a="1"/>
  <c r="C305" i="1" a="1"/>
  <c r="C303" i="1" a="1"/>
  <c r="D305" i="1" a="1"/>
  <c r="D299" i="1" a="1"/>
  <c r="C297" i="1" a="1"/>
  <c r="D304" i="1" a="1"/>
  <c r="D302" i="1" a="1"/>
  <c r="D300" i="1" a="1"/>
  <c r="D298" i="1" a="1"/>
  <c r="D296" i="1" a="1"/>
  <c r="D295" i="1" a="1"/>
  <c r="D303" i="1" a="1"/>
  <c r="C304" i="1" a="1"/>
  <c r="C302" i="1" a="1"/>
  <c r="C300" i="1" a="1"/>
  <c r="C298" i="1" a="1"/>
  <c r="C296" i="1" a="1"/>
  <c r="C295" i="1" a="1"/>
  <c r="D301" i="1" a="1"/>
  <c r="C299" i="1" a="1"/>
  <c r="D290" i="1" a="1"/>
  <c r="BI312" i="1" a="1"/>
  <c r="AF312" i="1" a="1"/>
  <c r="C312" i="1" a="1"/>
  <c r="C299" i="1" l="1"/>
  <c r="D301" i="1"/>
  <c r="C295" i="1"/>
  <c r="C296" i="1"/>
  <c r="C298" i="1"/>
  <c r="C300" i="1"/>
  <c r="C302" i="1"/>
  <c r="C304" i="1"/>
  <c r="D303" i="1"/>
  <c r="D295" i="1"/>
  <c r="D296" i="1"/>
  <c r="D298" i="1"/>
  <c r="D300" i="1"/>
  <c r="D302" i="1"/>
  <c r="D304" i="1"/>
  <c r="C297" i="1"/>
  <c r="D299" i="1"/>
  <c r="D305" i="1"/>
  <c r="C303" i="1"/>
  <c r="C305" i="1"/>
  <c r="C301" i="1"/>
  <c r="D297" i="1"/>
  <c r="D290" i="1"/>
  <c r="BI312" i="1"/>
  <c r="AF312" i="1"/>
  <c r="C312" i="1"/>
  <c r="A291" i="1"/>
  <c r="C288" i="1"/>
  <c r="C287" i="1"/>
  <c r="C286" i="1"/>
  <c r="C283" i="1"/>
  <c r="C282" i="1"/>
  <c r="C281" i="1"/>
  <c r="C279" i="1"/>
  <c r="C278" i="1"/>
  <c r="C276" i="1"/>
  <c r="C275" i="1"/>
  <c r="C274" i="1"/>
  <c r="C272" i="1"/>
  <c r="D271" i="1"/>
  <c r="C271" i="1"/>
  <c r="D270" i="1"/>
  <c r="C270" i="1"/>
  <c r="D269" i="1"/>
  <c r="C269" i="1"/>
  <c r="C268" i="1"/>
  <c r="A266" i="1"/>
  <c r="C265" i="1"/>
  <c r="C263" i="1"/>
  <c r="C262" i="1"/>
  <c r="C261" i="1"/>
  <c r="H258" i="1"/>
  <c r="H259" i="1" s="1"/>
  <c r="H260" i="1" s="1"/>
  <c r="H261" i="1" s="1"/>
  <c r="H262" i="1" s="1"/>
  <c r="H263" i="1" s="1"/>
  <c r="C258" i="1"/>
  <c r="H257" i="1"/>
  <c r="H256" i="1"/>
  <c r="H255" i="1" s="1"/>
  <c r="H254" i="1" s="1"/>
  <c r="H253" i="1" s="1"/>
  <c r="H252" i="1" s="1"/>
  <c r="C256" i="1"/>
  <c r="C254" i="1"/>
  <c r="C253" i="1"/>
  <c r="C252" i="1"/>
  <c r="K251" i="1"/>
  <c r="L251" i="1" s="1"/>
  <c r="M251" i="1" s="1"/>
  <c r="J251" i="1"/>
  <c r="I251" i="1" s="1"/>
  <c r="C250" i="1"/>
  <c r="K250" i="1" s="1"/>
  <c r="A248" i="1"/>
  <c r="F247" i="1"/>
  <c r="C247" i="1"/>
  <c r="C245" i="1"/>
  <c r="C244" i="1"/>
  <c r="C243" i="1"/>
  <c r="C240" i="1"/>
  <c r="H239" i="1"/>
  <c r="H240" i="1" s="1"/>
  <c r="H241" i="1" s="1"/>
  <c r="H242" i="1" s="1"/>
  <c r="H243" i="1" s="1"/>
  <c r="H244" i="1" s="1"/>
  <c r="H245" i="1" s="1"/>
  <c r="C238" i="1"/>
  <c r="C236" i="1"/>
  <c r="C235" i="1"/>
  <c r="C234" i="1"/>
  <c r="M233" i="1"/>
  <c r="L233" i="1"/>
  <c r="K233" i="1"/>
  <c r="J233" i="1"/>
  <c r="I233" i="1"/>
  <c r="A230" i="1"/>
  <c r="F229" i="1"/>
  <c r="C229" i="1"/>
  <c r="C227" i="1"/>
  <c r="C225" i="1"/>
  <c r="C222" i="1"/>
  <c r="C221" i="1"/>
  <c r="A220" i="1"/>
  <c r="C219" i="1"/>
  <c r="C217" i="1"/>
  <c r="C214" i="1"/>
  <c r="C206" i="1"/>
  <c r="C203" i="1"/>
  <c r="C200" i="1"/>
  <c r="C192" i="1"/>
  <c r="A191" i="1"/>
  <c r="C190" i="1"/>
  <c r="K5" i="1" s="1"/>
  <c r="C188" i="1"/>
  <c r="C185" i="1"/>
  <c r="C179" i="1"/>
  <c r="C172" i="1"/>
  <c r="C166" i="1"/>
  <c r="C163" i="1"/>
  <c r="A162" i="1"/>
  <c r="C161" i="1"/>
  <c r="C159" i="1"/>
  <c r="C156" i="1"/>
  <c r="C150" i="1"/>
  <c r="C145" i="1"/>
  <c r="C134" i="1"/>
  <c r="A133" i="1"/>
  <c r="C132" i="1"/>
  <c r="C130" i="1"/>
  <c r="C129" i="1"/>
  <c r="C127" i="1"/>
  <c r="C123" i="1"/>
  <c r="C121" i="1"/>
  <c r="C117" i="1"/>
  <c r="C111" i="1"/>
  <c r="C105" i="1"/>
  <c r="A104" i="1"/>
  <c r="C103" i="1"/>
  <c r="C101" i="1"/>
  <c r="C95" i="1"/>
  <c r="C94" i="1"/>
  <c r="C90" i="1"/>
  <c r="C84" i="1"/>
  <c r="C76" i="1"/>
  <c r="A75" i="1"/>
  <c r="C74" i="1"/>
  <c r="C72" i="1"/>
  <c r="C70" i="1"/>
  <c r="C68" i="1"/>
  <c r="C66" i="1"/>
  <c r="C64" i="1"/>
  <c r="C62" i="1"/>
  <c r="C60" i="1"/>
  <c r="C277" i="1" s="1"/>
  <c r="C58" i="1"/>
  <c r="C56" i="1"/>
  <c r="C55" i="1"/>
  <c r="C257" i="1" s="1"/>
  <c r="C285" i="1" s="1"/>
  <c r="C53" i="1"/>
  <c r="C260" i="1" s="1"/>
  <c r="C51" i="1"/>
  <c r="C49" i="1"/>
  <c r="C47" i="1"/>
  <c r="C46" i="1"/>
  <c r="C187" i="1" s="1"/>
  <c r="C44" i="1"/>
  <c r="C98" i="1" s="1"/>
  <c r="C43" i="1"/>
  <c r="C126" i="1" s="1"/>
  <c r="C41" i="1"/>
  <c r="C211" i="1" s="1"/>
  <c r="C40" i="1"/>
  <c r="C210" i="1" s="1"/>
  <c r="C38" i="1"/>
  <c r="C208" i="1" s="1"/>
  <c r="C37" i="1"/>
  <c r="C149" i="1" s="1"/>
  <c r="C36" i="1"/>
  <c r="C177" i="1" s="1"/>
  <c r="C34" i="1"/>
  <c r="C33" i="1"/>
  <c r="C31" i="1"/>
  <c r="C28" i="1"/>
  <c r="C175" i="1" s="1"/>
  <c r="C27" i="1"/>
  <c r="C87" i="1" s="1"/>
  <c r="C25" i="1"/>
  <c r="C114" i="1" s="1"/>
  <c r="C24" i="1"/>
  <c r="C142" i="1" s="1"/>
  <c r="C22" i="1"/>
  <c r="C82" i="1" s="1"/>
  <c r="C21" i="1"/>
  <c r="C110" i="1" s="1"/>
  <c r="C19" i="1"/>
  <c r="C18" i="1"/>
  <c r="C16" i="1"/>
  <c r="C137" i="1" s="1"/>
  <c r="C15" i="1"/>
  <c r="C107" i="1" s="1"/>
  <c r="C13" i="1"/>
  <c r="C12" i="1"/>
  <c r="A11" i="1"/>
  <c r="C10" i="1"/>
  <c r="P8" i="1"/>
  <c r="L8" i="1"/>
  <c r="J8" i="1"/>
  <c r="F8" i="1"/>
  <c r="C8" i="1"/>
  <c r="G257" i="1" s="1"/>
  <c r="P7" i="1"/>
  <c r="L7" i="1"/>
  <c r="J7" i="1"/>
  <c r="I7" i="1"/>
  <c r="H7" i="1"/>
  <c r="G7" i="1"/>
  <c r="F7" i="1"/>
  <c r="C7" i="1"/>
  <c r="R6" i="1"/>
  <c r="D250" i="1" s="1"/>
  <c r="P6" i="1"/>
  <c r="L6" i="1"/>
  <c r="P5" i="1"/>
  <c r="C232" i="1" s="1"/>
  <c r="K232" i="1" s="1"/>
  <c r="L5" i="1"/>
  <c r="J5" i="1"/>
  <c r="I5" i="1"/>
  <c r="H5" i="1"/>
  <c r="R4" i="1"/>
  <c r="Q4" i="1"/>
  <c r="P4" i="1"/>
  <c r="O4" i="1"/>
  <c r="N4" i="1"/>
  <c r="M4" i="1"/>
  <c r="L4" i="1"/>
  <c r="K4" i="1"/>
  <c r="J4" i="1"/>
  <c r="I4" i="1"/>
  <c r="H4" i="1"/>
  <c r="G4" i="1"/>
  <c r="A2" i="1"/>
  <c r="O295" i="1" a="1"/>
  <c r="G295" i="1" a="1"/>
  <c r="K295" i="1" a="1"/>
  <c r="P295" i="1" a="1"/>
  <c r="H295" i="1" a="1"/>
  <c r="L295" i="1" a="1"/>
  <c r="Q295" i="1" a="1"/>
  <c r="F295" i="1" a="1"/>
  <c r="J295" i="1" a="1"/>
  <c r="S295" i="1" a="1"/>
  <c r="M295" i="1" a="1"/>
  <c r="E295" i="1" a="1"/>
  <c r="I295" i="1" a="1"/>
  <c r="R295" i="1" a="1"/>
  <c r="R295" i="1" l="1"/>
  <c r="I295" i="1"/>
  <c r="E295" i="1"/>
  <c r="M295" i="1"/>
  <c r="S295" i="1"/>
  <c r="J295" i="1"/>
  <c r="F295" i="1"/>
  <c r="Q295" i="1"/>
  <c r="L295" i="1"/>
  <c r="H295" i="1"/>
  <c r="P295" i="1"/>
  <c r="K295" i="1"/>
  <c r="G295" i="1"/>
  <c r="O295" i="1"/>
  <c r="C197" i="1"/>
  <c r="C242" i="1"/>
  <c r="C79" i="1"/>
  <c r="C91" i="1"/>
  <c r="C119" i="1"/>
  <c r="C146" i="1"/>
  <c r="C158" i="1"/>
  <c r="C168" i="1"/>
  <c r="C194" i="1"/>
  <c r="C239" i="1"/>
  <c r="C178" i="1"/>
  <c r="C88" i="1"/>
  <c r="C100" i="1"/>
  <c r="C224" i="1" s="1"/>
  <c r="C116" i="1"/>
  <c r="C136" i="1"/>
  <c r="C143" i="1"/>
  <c r="C155" i="1"/>
  <c r="C171" i="1"/>
  <c r="C216" i="1"/>
  <c r="C139" i="1"/>
  <c r="C81" i="1"/>
  <c r="C92" i="1"/>
  <c r="C108" i="1"/>
  <c r="C120" i="1"/>
  <c r="C148" i="1"/>
  <c r="C169" i="1"/>
  <c r="C181" i="1"/>
  <c r="G239" i="1"/>
  <c r="C78" i="1"/>
  <c r="C85" i="1"/>
  <c r="C97" i="1"/>
  <c r="C113" i="1"/>
  <c r="C124" i="1"/>
  <c r="C140" i="1"/>
  <c r="C152" i="1"/>
  <c r="C174" i="1"/>
  <c r="C195" i="1"/>
  <c r="C198" i="1"/>
  <c r="C201" i="1"/>
  <c r="C204" i="1"/>
  <c r="C207" i="1"/>
  <c r="C213" i="1"/>
  <c r="C165" i="1"/>
  <c r="C184" i="1"/>
  <c r="C182" i="1"/>
  <c r="C153" i="1"/>
  <c r="H238" i="1"/>
  <c r="H237" i="1" s="1"/>
  <c r="H236" i="1" s="1"/>
  <c r="H235" i="1" s="1"/>
  <c r="H234" i="1" s="1"/>
  <c r="C2" i="1" l="1" a="1"/>
  <c r="N295" i="1" l="1" a="1"/>
  <c r="N295" i="1" s="1"/>
  <c r="C2" i="1"/>
  <c r="C3" i="1" a="1"/>
  <c r="C3" i="1" l="1"/>
  <c r="C4" i="1" a="1"/>
  <c r="G3" i="1" l="1" a="1"/>
  <c r="G3" i="1" s="1"/>
  <c r="D3" i="1"/>
  <c r="C4" i="1"/>
  <c r="C5" i="1" a="1"/>
  <c r="C5" i="1" l="1"/>
  <c r="D5" i="1" a="1"/>
  <c r="F3" i="1" s="1" a="1"/>
  <c r="F3" i="1" s="1"/>
  <c r="C6" i="1" a="1"/>
  <c r="D5" i="1" l="1"/>
  <c r="C6" i="1"/>
  <c r="E6" i="1" a="1"/>
  <c r="E6" i="1" l="1"/>
  <c r="G6" i="1" a="1"/>
  <c r="G6" i="1" s="1"/>
  <c r="H6" i="1" a="1"/>
  <c r="H6" i="1" s="1"/>
  <c r="J6" i="1"/>
  <c r="K6" i="1" a="1"/>
  <c r="K6" i="1" l="1"/>
  <c r="S7" i="1" s="1"/>
  <c r="D7" i="1"/>
  <c r="S8" i="1" a="1"/>
  <c r="E7" i="1" a="1"/>
  <c r="S8" i="1" l="1"/>
  <c r="E7" i="1"/>
  <c r="D9" i="1" l="1"/>
  <c r="B16" i="1"/>
  <c r="B19" i="1"/>
  <c r="B22" i="1"/>
  <c r="B25" i="1"/>
  <c r="B28" i="1"/>
  <c r="B31" i="1" a="1"/>
  <c r="D43" i="1" l="1" a="1"/>
  <c r="D43" i="1" s="1"/>
  <c r="D51" i="1" a="1"/>
  <c r="D51" i="1" s="1"/>
  <c r="D40" i="1" a="1"/>
  <c r="D40" i="1" s="1"/>
  <c r="D46" i="1" a="1"/>
  <c r="D46" i="1" s="1"/>
  <c r="D36" i="1" a="1"/>
  <c r="D36" i="1" s="1"/>
  <c r="B31" i="1"/>
  <c r="C30" i="1" a="1"/>
  <c r="B34" i="1"/>
  <c r="C30" i="1" l="1"/>
  <c r="B42" i="1"/>
  <c r="B50" i="1"/>
  <c r="B56" i="1"/>
  <c r="B61" i="1"/>
  <c r="B63" i="1"/>
  <c r="B269" i="1"/>
  <c r="D268" i="1" s="1" a="1"/>
  <c r="D268" i="1" l="1"/>
  <c r="D272" i="1" s="1"/>
  <c r="B275" i="1"/>
  <c r="F6" i="1" l="1"/>
  <c r="E8" i="1" a="1"/>
  <c r="E8" i="1" l="1"/>
  <c r="E9" i="1" a="1"/>
  <c r="E9" i="1" s="1"/>
  <c r="C233" i="1"/>
  <c r="C251" i="1"/>
  <c r="D76" i="1" l="1" a="1"/>
  <c r="D76" i="1" s="1"/>
  <c r="D12" i="1" a="1"/>
  <c r="D12" i="1" s="1"/>
  <c r="E3" i="1" s="1"/>
  <c r="D192" i="1" a="1"/>
  <c r="D192" i="1" s="1"/>
  <c r="D163" i="1" a="1"/>
  <c r="D163" i="1" s="1"/>
  <c r="D134" i="1" a="1"/>
  <c r="D134" i="1" s="1"/>
  <c r="D105" i="1" a="1"/>
  <c r="D105" i="1" s="1"/>
  <c r="D221" i="1" a="1"/>
  <c r="D27" i="1" a="1"/>
  <c r="D49" i="1" a="1"/>
  <c r="D24" i="1" a="1"/>
  <c r="D41" i="1" a="1"/>
  <c r="D21" i="1" a="1"/>
  <c r="D55" i="1" a="1"/>
  <c r="D33" i="1" a="1"/>
  <c r="D18" i="1" a="1"/>
  <c r="D62" i="1" a="1"/>
  <c r="D15" i="1" a="1"/>
  <c r="D30" i="1" a="1"/>
  <c r="D60" i="1" a="1"/>
  <c r="D60" i="1" l="1"/>
  <c r="D30" i="1"/>
  <c r="D15" i="1"/>
  <c r="D136" i="1" s="1"/>
  <c r="D165" i="1" s="1"/>
  <c r="D62" i="1"/>
  <c r="D18" i="1"/>
  <c r="D33" i="1"/>
  <c r="D55" i="1"/>
  <c r="D21" i="1"/>
  <c r="D41" i="1"/>
  <c r="D153" i="1" s="1" a="1"/>
  <c r="D24" i="1"/>
  <c r="D49" i="1"/>
  <c r="D27" i="1"/>
  <c r="D28" i="1" a="1"/>
  <c r="D28" i="1" s="1"/>
  <c r="D146" i="1" s="1" a="1"/>
  <c r="D19" i="1" a="1"/>
  <c r="D19" i="1" s="1"/>
  <c r="D31" i="1" a="1"/>
  <c r="D31" i="1" s="1"/>
  <c r="D221" i="1"/>
  <c r="D13" i="1" a="1"/>
  <c r="D78" i="1"/>
  <c r="D56" i="1" a="1"/>
  <c r="D56" i="1" s="1"/>
  <c r="E16" i="1" a="1"/>
  <c r="D25" i="1" a="1"/>
  <c r="D22" i="1" a="1"/>
  <c r="D34" i="1" a="1"/>
  <c r="D34" i="1" s="1"/>
  <c r="D64" i="1" l="1" a="1"/>
  <c r="D64" i="1" s="1"/>
  <c r="D107" i="1"/>
  <c r="D194" i="1"/>
  <c r="D70" i="1" a="1"/>
  <c r="D70" i="1" s="1"/>
  <c r="D13" i="1"/>
  <c r="S6" i="1" s="1" a="1"/>
  <c r="S6" i="1" s="1"/>
  <c r="D25" i="1"/>
  <c r="D143" i="1" s="1" a="1"/>
  <c r="D44" i="1" a="1"/>
  <c r="D44" i="1" s="1"/>
  <c r="D22" i="1"/>
  <c r="D140" i="1" s="1" a="1"/>
  <c r="D146" i="1"/>
  <c r="C176" i="1" s="1" a="1"/>
  <c r="C176" i="1" s="1"/>
  <c r="E16" i="1"/>
  <c r="E137" i="1" s="1" a="1"/>
  <c r="D153" i="1"/>
  <c r="C183" i="1" s="1" a="1"/>
  <c r="C183" i="1" s="1"/>
  <c r="D37" i="1" a="1"/>
  <c r="E38" i="1" a="1"/>
  <c r="E38" i="1" s="1"/>
  <c r="D6" i="1" l="1"/>
  <c r="E4" i="1" s="1"/>
  <c r="N5" i="1"/>
  <c r="D124" i="1" a="1"/>
  <c r="D124" i="1" s="1"/>
  <c r="D88" i="1" a="1"/>
  <c r="D88" i="1" s="1"/>
  <c r="D95" i="1" a="1"/>
  <c r="D95" i="1" s="1"/>
  <c r="D278" i="1" s="1" a="1"/>
  <c r="D278" i="1" s="1"/>
  <c r="D117" i="1" a="1"/>
  <c r="D117" i="1" s="1"/>
  <c r="D47" i="1" a="1"/>
  <c r="D47" i="1" s="1"/>
  <c r="D143" i="1"/>
  <c r="C173" i="1" s="1" a="1"/>
  <c r="C173" i="1" s="1"/>
  <c r="D37" i="1"/>
  <c r="D149" i="1" s="1" a="1"/>
  <c r="D140" i="1"/>
  <c r="D82" i="1" s="1" a="1"/>
  <c r="D82" i="1" s="1"/>
  <c r="E137" i="1"/>
  <c r="C167" i="1" s="1" a="1"/>
  <c r="C167" i="1" s="1"/>
  <c r="D222" i="1" a="1"/>
  <c r="D222" i="1" s="1"/>
  <c r="D277" i="1"/>
  <c r="D275" i="1"/>
  <c r="E108" i="1" l="1" a="1"/>
  <c r="E108" i="1" s="1"/>
  <c r="F4" i="1"/>
  <c r="D66" i="1" s="1" a="1"/>
  <c r="D66" i="1" s="1"/>
  <c r="D10" i="1" a="1"/>
  <c r="D10" i="1" s="1"/>
  <c r="D167" i="1" s="1" a="1"/>
  <c r="D104" i="1" a="1"/>
  <c r="D104" i="1" s="1"/>
  <c r="D75" i="1" a="1"/>
  <c r="D75" i="1" s="1"/>
  <c r="D220" i="1" a="1"/>
  <c r="D220" i="1" s="1"/>
  <c r="D162" i="1" a="1"/>
  <c r="D162" i="1" s="1"/>
  <c r="D133" i="1" a="1"/>
  <c r="D133" i="1" s="1"/>
  <c r="D11" i="1" a="1"/>
  <c r="D11" i="1" s="1"/>
  <c r="D191" i="1" a="1"/>
  <c r="D191" i="1" s="1"/>
  <c r="D2" i="1" a="1"/>
  <c r="D2" i="1" s="1"/>
  <c r="D262" i="1"/>
  <c r="D244" i="1"/>
  <c r="D281" i="1"/>
  <c r="D114" i="1" a="1"/>
  <c r="D114" i="1" s="1"/>
  <c r="D111" i="1" a="1"/>
  <c r="D111" i="1" s="1"/>
  <c r="D149" i="1"/>
  <c r="C180" i="1" s="1" a="1"/>
  <c r="C180" i="1" s="1"/>
  <c r="D85" i="1" a="1"/>
  <c r="D85" i="1" s="1"/>
  <c r="C170" i="1" a="1"/>
  <c r="C170" i="1" s="1"/>
  <c r="E136" i="1" a="1"/>
  <c r="E79" i="1" a="1"/>
  <c r="E79" i="1" s="1"/>
  <c r="D72" i="1" l="1" a="1"/>
  <c r="D72" i="1" s="1"/>
  <c r="D53" i="1" a="1"/>
  <c r="D53" i="1" s="1"/>
  <c r="D58" i="1" a="1"/>
  <c r="D58" i="1" s="1"/>
  <c r="D180" i="1" a="1"/>
  <c r="D180" i="1" s="1"/>
  <c r="D178" i="1" s="1" a="1"/>
  <c r="D170" i="1" a="1"/>
  <c r="D170" i="1" s="1"/>
  <c r="D199" i="1" s="1" a="1"/>
  <c r="D91" i="1" a="1"/>
  <c r="D91" i="1" s="1"/>
  <c r="D183" i="1" a="1"/>
  <c r="D183" i="1" s="1"/>
  <c r="D212" i="1" s="1" a="1"/>
  <c r="D176" i="1" a="1"/>
  <c r="D176" i="1" s="1"/>
  <c r="D175" i="1" s="1" a="1"/>
  <c r="D225" i="1" a="1"/>
  <c r="D225" i="1" s="1"/>
  <c r="D173" i="1" a="1"/>
  <c r="D173" i="1" s="1"/>
  <c r="R7" i="1"/>
  <c r="E136" i="1"/>
  <c r="E78" i="1" s="1" a="1"/>
  <c r="E78" i="1" s="1"/>
  <c r="D167" i="1"/>
  <c r="D196" i="1" s="1" a="1"/>
  <c r="E166" i="1" a="1"/>
  <c r="R8" i="1"/>
  <c r="E107" i="1" a="1"/>
  <c r="E107" i="1" s="1"/>
  <c r="D120" i="1" a="1"/>
  <c r="R5" i="1" l="1" a="1"/>
  <c r="R5" i="1" s="1"/>
  <c r="D232" i="1" s="1"/>
  <c r="D242" i="1" a="1"/>
  <c r="D242" i="1" s="1"/>
  <c r="D260" i="1" a="1"/>
  <c r="D260" i="1" s="1"/>
  <c r="D282" i="1" s="1"/>
  <c r="D283" i="1" s="1"/>
  <c r="D257" i="1" a="1"/>
  <c r="D257" i="1" s="1"/>
  <c r="D285" i="1" s="1"/>
  <c r="D239" i="1" a="1"/>
  <c r="D239" i="1" s="1"/>
  <c r="D209" i="1" a="1"/>
  <c r="D209" i="1" s="1"/>
  <c r="D207" i="1" s="1" a="1"/>
  <c r="D182" i="1" a="1"/>
  <c r="D182" i="1" s="1"/>
  <c r="D169" i="1" a="1"/>
  <c r="D169" i="1" s="1"/>
  <c r="D172" i="1" a="1"/>
  <c r="D172" i="1" s="1"/>
  <c r="D202" i="1" a="1"/>
  <c r="D202" i="1" s="1"/>
  <c r="D201" i="1" s="1" a="1"/>
  <c r="D68" i="1" a="1"/>
  <c r="D68" i="1" s="1"/>
  <c r="D116" i="1" a="1"/>
  <c r="D116" i="1" s="1"/>
  <c r="D110" i="1" a="1"/>
  <c r="D113" i="1" a="1"/>
  <c r="D113" i="1" s="1"/>
  <c r="D175" i="1"/>
  <c r="D199" i="1"/>
  <c r="D198" i="1" s="1" a="1"/>
  <c r="D196" i="1"/>
  <c r="E195" i="1" a="1"/>
  <c r="D120" i="1"/>
  <c r="D119" i="1" s="1" a="1"/>
  <c r="E166" i="1"/>
  <c r="E165" i="1" s="1" a="1"/>
  <c r="E165" i="1" s="1"/>
  <c r="D178" i="1"/>
  <c r="D212" i="1"/>
  <c r="D211" i="1" s="1" a="1"/>
  <c r="D205" i="1" a="1"/>
  <c r="D148" i="1" a="1"/>
  <c r="D145" i="1" a="1"/>
  <c r="D142" i="1" a="1"/>
  <c r="D139" i="1" a="1"/>
  <c r="D274" i="1" a="1"/>
  <c r="D286" i="1" l="1"/>
  <c r="D287" i="1"/>
  <c r="D274" i="1"/>
  <c r="D276" i="1" s="1"/>
  <c r="D279" i="1" s="1"/>
  <c r="D211" i="1"/>
  <c r="D198" i="1"/>
  <c r="D110" i="1"/>
  <c r="D142" i="1"/>
  <c r="D84" i="1" s="1" a="1"/>
  <c r="D84" i="1" s="1"/>
  <c r="D207" i="1"/>
  <c r="D119" i="1"/>
  <c r="E121" i="1" a="1"/>
  <c r="E121" i="1" s="1"/>
  <c r="D145" i="1"/>
  <c r="D87" i="1" s="1" a="1"/>
  <c r="D87" i="1" s="1"/>
  <c r="D148" i="1"/>
  <c r="D90" i="1" s="1" a="1"/>
  <c r="D90" i="1" s="1"/>
  <c r="E150" i="1" a="1"/>
  <c r="D205" i="1"/>
  <c r="D204" i="1" s="1" a="1"/>
  <c r="D201" i="1"/>
  <c r="D174" i="1" a="1"/>
  <c r="D174" i="1" s="1"/>
  <c r="D168" i="1" a="1"/>
  <c r="D171" i="1" a="1"/>
  <c r="D171" i="1" s="1"/>
  <c r="D177" i="1" a="1"/>
  <c r="D139" i="1"/>
  <c r="D152" i="1" s="1" a="1"/>
  <c r="E195" i="1"/>
  <c r="E194" i="1" s="1" a="1"/>
  <c r="E194" i="1" s="1"/>
  <c r="D288" i="1" l="1"/>
  <c r="N8" i="1" s="1"/>
  <c r="D8" i="1" s="1"/>
  <c r="D123" i="1" a="1"/>
  <c r="D123" i="1" s="1"/>
  <c r="D126" i="1" s="1" a="1"/>
  <c r="D197" i="1" a="1"/>
  <c r="D197" i="1" s="1"/>
  <c r="D210" i="1" s="1" a="1"/>
  <c r="D200" i="1" a="1"/>
  <c r="D200" i="1" s="1"/>
  <c r="D204" i="1"/>
  <c r="D203" i="1" s="1" a="1"/>
  <c r="D203" i="1" s="1"/>
  <c r="D152" i="1"/>
  <c r="D94" i="1" s="1" a="1"/>
  <c r="D94" i="1" s="1"/>
  <c r="E150" i="1"/>
  <c r="E92" i="1" s="1" a="1"/>
  <c r="E92" i="1" s="1"/>
  <c r="D177" i="1"/>
  <c r="E179" i="1" a="1"/>
  <c r="E179" i="1" s="1"/>
  <c r="D168" i="1"/>
  <c r="D181" i="1" s="1" a="1"/>
  <c r="D206" i="1" a="1"/>
  <c r="D81" i="1" a="1"/>
  <c r="D155" i="1" l="1" a="1"/>
  <c r="D155" i="1" s="1"/>
  <c r="D126" i="1"/>
  <c r="D127" i="1" s="1" a="1"/>
  <c r="D127" i="1" s="1"/>
  <c r="E208" i="1" a="1"/>
  <c r="E208" i="1" s="1"/>
  <c r="D206" i="1"/>
  <c r="D210" i="1"/>
  <c r="D213" i="1" s="1" a="1"/>
  <c r="D181" i="1"/>
  <c r="D184" i="1" s="1" a="1"/>
  <c r="D81" i="1"/>
  <c r="D233" i="1" s="1" a="1"/>
  <c r="D233" i="1" s="1"/>
  <c r="D234" i="1" s="1"/>
  <c r="D235" i="1" s="1"/>
  <c r="D156" i="1" l="1" a="1"/>
  <c r="D156" i="1" s="1"/>
  <c r="D98" i="1" s="1" a="1"/>
  <c r="D98" i="1" s="1"/>
  <c r="D97" i="1" a="1"/>
  <c r="D97" i="1" s="1"/>
  <c r="D158" i="1" a="1"/>
  <c r="D158" i="1" s="1"/>
  <c r="D159" i="1" s="1" a="1"/>
  <c r="D129" i="1" a="1"/>
  <c r="D129" i="1" s="1"/>
  <c r="D130" i="1" s="1" a="1"/>
  <c r="D130" i="1" s="1"/>
  <c r="D184" i="1"/>
  <c r="D185" i="1" s="1" a="1"/>
  <c r="D185" i="1" s="1"/>
  <c r="D213" i="1"/>
  <c r="D214" i="1" s="1" a="1"/>
  <c r="D214" i="1" s="1"/>
  <c r="D187" i="1" l="1" a="1"/>
  <c r="D187" i="1" s="1"/>
  <c r="D188" i="1" s="1" a="1"/>
  <c r="D188" i="1" s="1"/>
  <c r="D100" i="1" a="1"/>
  <c r="D100" i="1" s="1"/>
  <c r="D159" i="1"/>
  <c r="D101" i="1" s="1" a="1"/>
  <c r="D101" i="1" s="1"/>
  <c r="D216" i="1" a="1"/>
  <c r="D216" i="1" s="1"/>
  <c r="D217" i="1" s="1" a="1"/>
  <c r="D217" i="1" s="1"/>
  <c r="D224" i="1" l="1" a="1"/>
  <c r="D224" i="1" s="1"/>
  <c r="D251" i="1" s="1" a="1"/>
  <c r="D251" i="1" s="1"/>
  <c r="D252" i="1" s="1"/>
  <c r="D253" i="1" s="1"/>
  <c r="D227" i="1" l="1" a="1"/>
  <c r="D227" i="1" s="1"/>
  <c r="D254" i="1" s="1" a="1"/>
  <c r="D254" i="1" s="1"/>
  <c r="D256" i="1" s="1"/>
  <c r="D258" i="1" s="1"/>
  <c r="D261" i="1" s="1"/>
  <c r="D236" i="1" l="1" a="1"/>
  <c r="D236" i="1" s="1"/>
  <c r="D238" i="1" s="1"/>
  <c r="D240" i="1" s="1"/>
  <c r="D243" i="1" s="1"/>
  <c r="D245" i="1" s="1"/>
  <c r="O6" i="1" s="1"/>
  <c r="D263" i="1"/>
  <c r="O7" i="1" s="1"/>
  <c r="H251" i="1"/>
  <c r="N7" i="1"/>
  <c r="H233" i="1" l="1"/>
  <c r="N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<sst xmlns="http://schemas.openxmlformats.org/spreadsheetml/2006/main" count="27" uniqueCount="27">
  <si>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Last (Delayed)</t>
  </si>
  <si>
    <t>Market Data</t>
  </si>
  <si>
    <t>Median</t>
  </si>
  <si>
    <t>Revenue</t>
  </si>
  <si>
    <t>EBITDA</t>
  </si>
  <si>
    <t>EBIT</t>
  </si>
  <si>
    <t>Minimum</t>
  </si>
  <si>
    <t>Maximum</t>
  </si>
  <si>
    <t>Trading Comparables</t>
  </si>
  <si>
    <t>Company</t>
  </si>
  <si>
    <t>Ticker</t>
  </si>
  <si>
    <t>Period End</t>
  </si>
  <si>
    <t>Valuation Multiples</t>
  </si>
  <si>
    <t>Book Value
Per Share</t>
  </si>
  <si>
    <t>P/BV (x)</t>
  </si>
  <si>
    <t>Share Price</t>
  </si>
  <si>
    <t>EV / EBITDA
(x)</t>
  </si>
  <si>
    <t>P/E (x)</t>
  </si>
  <si>
    <t>Mean</t>
  </si>
  <si>
    <t>Market Cap</t>
  </si>
  <si>
    <t>Total Debt</t>
  </si>
  <si>
    <t>Capital Structure</t>
  </si>
  <si>
    <t>Income Statement</t>
  </si>
  <si>
    <t>Net Income</t>
  </si>
  <si>
    <t>Enterprise
Value</t>
  </si>
  <si>
    <t>Minority
Interest</t>
  </si>
  <si>
    <t>Diluted 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</si>
</sst>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164" formatCode="_(#,##0_);_(\(#,##0\);_(&quot; - &quot;_);_(@_)"/>
    <numFmt numFmtId="165" formatCode="_(#,##0.0%_);_(\(#,##0.0%\)"/>
    <numFmt numFmtId="166" formatCode="m/d/yyyy_)"/>
    <numFmt numFmtId="167" formatCode="_(#,##0.0%_);[Red]_(\(#,##0.0%\)"/>
    <numFmt numFmtId="168" formatCode="_(#,##0.0_);_(\(#,##0.0\);_(&quot; - &quot;_);_(@_)"/>
    <numFmt numFmtId="169" formatCode="_(#,##0.0\x_);_(\(#,##0.0\x\);_(&quot; - &quot;_);_(@_)"/>
    <numFmt numFmtId="170" formatCode="0\A_)"/>
    <numFmt numFmtId="171" formatCode="0\E_)"/>
    <numFmt numFmtId="172" formatCode="_(_(#,##0.0%_);_(\(#,##0.0%\)"/>
    <numFmt numFmtId="173" formatCode="_(#,##0.00_);_(\(#,##0.00\);_(&quot; - &quot;_);_(@_)"/>
    <numFmt numFmtId="181" formatCode="\$#,##0.00"/>
    <numFmt numFmtId="182" formatCode="0.0\x"/>
    <numFmt numFmtId="185" formatCode="mmm\ yyyy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rgb="FF8B5E00"/>
      <name val="Calibri"/>
      <family val="2"/>
      <scheme val="minor"/>
    </font>
    <font>
      <sz val="11"/>
      <color rgb="FF8B5E00"/>
      <name val="Calibri"/>
      <family val="2"/>
      <scheme val="minor"/>
    </font>
    <font>
      <b/>
      <sz val="11"/>
      <color rgb="FF1B2A4A"/>
      <name val="Calibri"/>
      <family val="2"/>
      <scheme val="minor"/>
    </font>
    <font>
      <sz val="11"/>
      <color rgb="FF1B2A4A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FFF8EC"/>
      </patternFill>
    </fill>
    <fill>
      <patternFill patternType="solid">
        <fgColor rgb="FFF5F5F5"/>
        <bgColor rgb="FFF0F7F0"/>
      </patternFill>
    </fill>
    <fill>
      <patternFill patternType="solid">
        <fgColor rgb="FFFFF8E7"/>
        <bgColor rgb="FFFFF8EC"/>
      </patternFill>
    </fill>
    <fill>
      <patternFill patternType="solid">
        <fgColor rgb="FFE6F4F7"/>
        <bgColor rgb="FFEEF3FB"/>
      </patternFill>
    </fill>
    <fill>
      <patternFill patternType="solid">
        <fgColor theme="0" tint="-0.499984740745262"/>
        <bgColor rgb="FF003366"/>
      </patternFill>
    </fill>
    <fill>
      <patternFill patternType="solid">
        <fgColor theme="0" tint="-0.249977111117893"/>
        <bgColor rgb="FF008080"/>
      </patternFill>
    </fill>
    <fill>
      <patternFill patternType="solid">
        <fgColor theme="0" tint="-0.34998626667073579"/>
        <bgColor rgb="FF003366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C8A951"/>
      </top>
      <bottom style="thin">
        <color rgb="FFD9D9D9"/>
      </bottom>
      <diagonal/>
    </border>
    <border>
      <left style="thin">
        <color rgb="FFB0C4D8"/>
      </left>
      <right style="thin">
        <color rgb="FFB0C4D8"/>
      </right>
      <top style="thin">
        <color rgb="FFB0C4D8"/>
      </top>
      <bottom style="thin">
        <color rgb="FFB0C4D8"/>
      </bottom>
      <diagonal/>
    </border>
    <border>
      <left style="thin">
        <color rgb="FFB0C4D8"/>
      </left>
      <right/>
      <top style="thin">
        <color rgb="FFB0C4D8"/>
      </top>
      <bottom style="thin">
        <color rgb="FFB0C4D8"/>
      </bottom>
      <diagonal/>
    </border>
    <border>
      <left/>
      <right/>
      <top style="thin">
        <color rgb="FFB0C4D8"/>
      </top>
      <bottom style="thin">
        <color rgb="FFB0C4D8"/>
      </bottom>
      <diagonal/>
    </border>
    <border>
      <left/>
      <right style="thin">
        <color rgb="FFB0C4D8"/>
      </right>
      <top style="thin">
        <color rgb="FFB0C4D8"/>
      </top>
      <bottom style="thin">
        <color rgb="FFB0C4D8"/>
      </bottom>
      <diagonal/>
    </border>
  </borders>
  <cellStyleXfs count="4">
    <xf numFmtId="0" fontId="0" fillId="0" borderId="0"/>
    <xf numFmtId="0" fontId="7" fillId="0" borderId="0"/>
    <xf numFmtId="0" fontId="15" fillId="0" borderId="0"/>
    <xf numFmtId="0" fontId="23" fillId="0" borderId="0"/>
  </cellStyleXfs>
  <cellXfs count="123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5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6" fontId="4" fillId="0" borderId="0" xfId="0" applyNumberFormat="1" applyFont="1"/>
    <xf numFmtId="165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5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5" fontId="3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164" fontId="10" fillId="0" borderId="0" xfId="0" applyNumberFormat="1" applyFont="1" applyAlignment="1">
      <alignment horizontal="right"/>
    </xf>
    <xf numFmtId="164" fontId="10" fillId="5" borderId="1" xfId="0" applyNumberFormat="1" applyFont="1" applyFill="1" applyBorder="1" applyAlignment="1">
      <alignment horizontal="center"/>
    </xf>
    <xf numFmtId="164" fontId="13" fillId="0" borderId="0" xfId="0" applyNumberFormat="1" applyFont="1"/>
    <xf numFmtId="165" fontId="3" fillId="0" borderId="0" xfId="0" applyNumberFormat="1" applyFont="1" applyAlignment="1">
      <alignment horizontal="right"/>
    </xf>
    <xf numFmtId="167" fontId="0" fillId="0" borderId="0" xfId="0" applyNumberFormat="1"/>
    <xf numFmtId="164" fontId="3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4" fontId="10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68" fontId="0" fillId="0" borderId="0" xfId="0" applyNumberFormat="1"/>
    <xf numFmtId="168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7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0" fontId="8" fillId="6" borderId="1" xfId="0" applyNumberFormat="1" applyFont="1" applyFill="1" applyBorder="1" applyAlignment="1" applyProtection="1">
      <alignment horizontal="center"/>
      <protection locked="0"/>
    </xf>
    <xf numFmtId="171" fontId="8" fillId="6" borderId="1" xfId="0" applyNumberFormat="1" applyFont="1" applyFill="1" applyBorder="1" applyAlignment="1" applyProtection="1">
      <alignment horizontal="center"/>
      <protection locked="0"/>
    </xf>
    <xf numFmtId="172" fontId="8" fillId="6" borderId="0" xfId="0" applyNumberFormat="1" applyFont="1" applyFill="1" applyAlignment="1" applyProtection="1">
      <alignment horizontal="right"/>
      <protection locked="0"/>
    </xf>
    <xf numFmtId="8" fontId="18" fillId="0" borderId="0" xfId="0" applyNumberFormat="1" applyFont="1" applyAlignment="1" applyProtection="1">
      <alignment horizontal="left"/>
      <protection locked="0"/>
    </xf>
    <xf numFmtId="169" fontId="8" fillId="0" borderId="0" xfId="0" applyNumberFormat="1" applyFont="1" applyProtection="1">
      <protection locked="0"/>
    </xf>
    <xf numFmtId="165" fontId="8" fillId="0" borderId="0" xfId="0" applyNumberFormat="1" applyFont="1" applyProtection="1">
      <protection locked="0"/>
    </xf>
    <xf numFmtId="164" fontId="16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 indent="1"/>
      <protection locked="0"/>
    </xf>
    <xf numFmtId="165" fontId="0" fillId="0" borderId="0" xfId="0" applyNumberFormat="1" applyAlignment="1" applyProtection="1">
      <alignment horizontal="right"/>
      <protection locked="0"/>
    </xf>
    <xf numFmtId="167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Protection="1">
      <protection locked="0"/>
    </xf>
    <xf numFmtId="164" fontId="10" fillId="0" borderId="0" xfId="0" applyNumberFormat="1" applyFont="1" applyProtection="1">
      <protection locked="0"/>
    </xf>
    <xf numFmtId="164" fontId="10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5" fontId="16" fillId="0" borderId="0" xfId="0" applyNumberFormat="1" applyFont="1" applyProtection="1">
      <protection locked="0"/>
    </xf>
    <xf numFmtId="165" fontId="0" fillId="0" borderId="4" xfId="0" applyNumberFormat="1" applyBorder="1" applyProtection="1">
      <protection locked="0"/>
    </xf>
    <xf numFmtId="166" fontId="10" fillId="0" borderId="0" xfId="0" applyNumberFormat="1" applyFont="1" applyProtection="1">
      <protection locked="0"/>
    </xf>
    <xf numFmtId="165" fontId="10" fillId="0" borderId="0" xfId="0" applyNumberFormat="1" applyFont="1" applyProtection="1">
      <protection locked="0"/>
    </xf>
    <xf numFmtId="8" fontId="10" fillId="0" borderId="0" xfId="0" applyNumberFormat="1" applyFont="1" applyProtection="1">
      <protection locked="0"/>
    </xf>
    <xf numFmtId="172" fontId="10" fillId="0" borderId="0" xfId="0" applyNumberFormat="1" applyFont="1" applyAlignment="1" applyProtection="1">
      <alignment horizontal="left"/>
      <protection locked="0"/>
    </xf>
    <xf numFmtId="164" fontId="11" fillId="0" borderId="0" xfId="0" applyNumberFormat="1" applyFont="1" applyProtection="1">
      <protection locked="0"/>
    </xf>
    <xf numFmtId="164" fontId="12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6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6" fontId="9" fillId="0" borderId="0" xfId="0" applyNumberFormat="1" applyFont="1" applyProtection="1">
      <protection locked="0"/>
    </xf>
    <xf numFmtId="168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4" fillId="2" borderId="0" xfId="0" applyNumberFormat="1" applyFont="1" applyFill="1"/>
    <xf numFmtId="169" fontId="10" fillId="4" borderId="4" xfId="0" applyNumberFormat="1" applyFont="1" applyFill="1" applyBorder="1" applyProtection="1">
      <protection locked="0"/>
    </xf>
    <xf numFmtId="165" fontId="10" fillId="4" borderId="2" xfId="0" applyNumberFormat="1" applyFont="1" applyFill="1" applyBorder="1" applyProtection="1">
      <protection locked="0"/>
    </xf>
    <xf numFmtId="8" fontId="10" fillId="0" borderId="3" xfId="0" applyNumberFormat="1" applyFont="1" applyBorder="1"/>
    <xf numFmtId="8" fontId="10" fillId="0" borderId="4" xfId="0" applyNumberFormat="1" applyFont="1" applyBorder="1"/>
    <xf numFmtId="8" fontId="10" fillId="0" borderId="2" xfId="0" applyNumberFormat="1" applyFont="1" applyBorder="1"/>
    <xf numFmtId="8" fontId="10" fillId="0" borderId="0" xfId="0" applyNumberFormat="1" applyFont="1"/>
    <xf numFmtId="167" fontId="10" fillId="4" borderId="4" xfId="0" applyNumberFormat="1" applyFont="1" applyFill="1" applyBorder="1" applyProtection="1">
      <protection locked="0"/>
    </xf>
    <xf numFmtId="8" fontId="19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6" fontId="4" fillId="0" borderId="0" xfId="0" applyNumberFormat="1" applyFont="1" applyAlignment="1">
      <alignment wrapText="1"/>
    </xf>
    <xf numFmtId="168" fontId="0" fillId="0" borderId="0" xfId="0" applyNumberFormat="1" applyAlignment="1">
      <alignment wrapText="1"/>
    </xf>
    <xf numFmtId="173" fontId="0" fillId="0" borderId="0" xfId="0" applyNumberFormat="1" applyAlignment="1">
      <alignment wrapText="1"/>
    </xf>
    <xf numFmtId="164" fontId="0" fillId="0" borderId="0" xfId="0" applyNumberFormat="1" applyFont="1" applyProtection="1">
      <protection locked="0"/>
    </xf>
    <xf numFmtId="164" fontId="0" fillId="0" borderId="0" xfId="0" applyNumberFormat="1" applyFont="1"/>
    <xf numFmtId="0" fontId="16" fillId="7" borderId="5" xfId="0" applyFont="1" applyFill="1" applyBorder="1" applyAlignment="1">
      <alignment horizontal="left" vertical="center"/>
    </xf>
    <xf numFmtId="0" fontId="25" fillId="7" borderId="5" xfId="0" applyFont="1" applyFill="1" applyBorder="1" applyAlignment="1">
      <alignment horizontal="center" vertical="center"/>
    </xf>
    <xf numFmtId="181" fontId="16" fillId="7" borderId="5" xfId="0" applyNumberFormat="1" applyFont="1" applyFill="1" applyBorder="1" applyAlignment="1">
      <alignment horizontal="center" vertical="center"/>
    </xf>
    <xf numFmtId="3" fontId="16" fillId="7" borderId="5" xfId="0" applyNumberFormat="1" applyFont="1" applyFill="1" applyBorder="1" applyAlignment="1">
      <alignment horizontal="center" vertical="center"/>
    </xf>
    <xf numFmtId="182" fontId="16" fillId="7" borderId="5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left" vertical="center"/>
    </xf>
    <xf numFmtId="0" fontId="25" fillId="8" borderId="5" xfId="0" applyFont="1" applyFill="1" applyBorder="1" applyAlignment="1">
      <alignment horizontal="center" vertical="center"/>
    </xf>
    <xf numFmtId="181" fontId="16" fillId="8" borderId="5" xfId="0" applyNumberFormat="1" applyFont="1" applyFill="1" applyBorder="1" applyAlignment="1">
      <alignment horizontal="center" vertical="center"/>
    </xf>
    <xf numFmtId="3" fontId="16" fillId="8" borderId="5" xfId="0" applyNumberFormat="1" applyFont="1" applyFill="1" applyBorder="1" applyAlignment="1">
      <alignment horizontal="center" vertical="center"/>
    </xf>
    <xf numFmtId="182" fontId="16" fillId="8" borderId="5" xfId="0" applyNumberFormat="1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left" vertical="center"/>
    </xf>
    <xf numFmtId="0" fontId="25" fillId="9" borderId="6" xfId="0" applyFont="1" applyFill="1" applyBorder="1" applyAlignment="1">
      <alignment horizontal="center" vertical="center"/>
    </xf>
    <xf numFmtId="181" fontId="26" fillId="9" borderId="6" xfId="0" applyNumberFormat="1" applyFont="1" applyFill="1" applyBorder="1" applyAlignment="1">
      <alignment horizontal="center" vertical="center"/>
    </xf>
    <xf numFmtId="3" fontId="26" fillId="9" borderId="6" xfId="0" applyNumberFormat="1" applyFont="1" applyFill="1" applyBorder="1" applyAlignment="1">
      <alignment horizontal="center" vertical="center"/>
    </xf>
    <xf numFmtId="3" fontId="27" fillId="9" borderId="6" xfId="0" applyNumberFormat="1" applyFont="1" applyFill="1" applyBorder="1" applyAlignment="1">
      <alignment horizontal="center" vertical="center"/>
    </xf>
    <xf numFmtId="182" fontId="26" fillId="9" borderId="6" xfId="0" applyNumberFormat="1" applyFont="1" applyFill="1" applyBorder="1" applyAlignment="1">
      <alignment horizontal="center" vertical="center"/>
    </xf>
    <xf numFmtId="182" fontId="27" fillId="9" borderId="6" xfId="0" applyNumberFormat="1" applyFont="1" applyFill="1" applyBorder="1" applyAlignment="1">
      <alignment horizontal="center" vertical="center"/>
    </xf>
    <xf numFmtId="181" fontId="27" fillId="9" borderId="6" xfId="0" applyNumberFormat="1" applyFont="1" applyFill="1" applyBorder="1" applyAlignment="1">
      <alignment horizontal="center" vertical="center"/>
    </xf>
    <xf numFmtId="181" fontId="29" fillId="10" borderId="7" xfId="0" applyNumberFormat="1" applyFont="1" applyFill="1" applyBorder="1" applyAlignment="1">
      <alignment horizontal="center" vertical="center"/>
    </xf>
    <xf numFmtId="3" fontId="29" fillId="10" borderId="7" xfId="0" applyNumberFormat="1" applyFont="1" applyFill="1" applyBorder="1" applyAlignment="1">
      <alignment horizontal="center" vertical="center"/>
    </xf>
    <xf numFmtId="182" fontId="28" fillId="10" borderId="7" xfId="0" applyNumberFormat="1" applyFont="1" applyFill="1" applyBorder="1" applyAlignment="1">
      <alignment horizontal="center" vertical="center"/>
    </xf>
    <xf numFmtId="182" fontId="29" fillId="10" borderId="7" xfId="0" applyNumberFormat="1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 wrapText="1"/>
    </xf>
    <xf numFmtId="0" fontId="24" fillId="11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horizontal="center" vertical="center" wrapText="1"/>
    </xf>
    <xf numFmtId="0" fontId="28" fillId="10" borderId="8" xfId="0" applyFont="1" applyFill="1" applyBorder="1" applyAlignment="1">
      <alignment horizontal="left" vertical="center"/>
    </xf>
    <xf numFmtId="0" fontId="28" fillId="10" borderId="9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left" vertical="center"/>
    </xf>
    <xf numFmtId="0" fontId="30" fillId="13" borderId="0" xfId="0" applyFont="1" applyFill="1" applyAlignment="1">
      <alignment horizontal="center"/>
    </xf>
    <xf numFmtId="185" fontId="16" fillId="7" borderId="5" xfId="0" applyNumberFormat="1" applyFont="1" applyFill="1" applyBorder="1" applyAlignment="1">
      <alignment horizontal="center" vertical="center"/>
    </xf>
    <xf numFmtId="185" fontId="16" fillId="8" borderId="5" xfId="0" applyNumberFormat="1" applyFont="1" applyFill="1" applyBorder="1" applyAlignment="1">
      <alignment horizontal="center" vertical="center"/>
    </xf>
    <xf numFmtId="185" fontId="27" fillId="9" borderId="6" xfId="0" applyNumberFormat="1" applyFont="1" applyFill="1" applyBorder="1" applyAlignment="1">
      <alignment horizontal="center" vertical="center"/>
    </xf>
    <xf numFmtId="164" fontId="12" fillId="0" borderId="0" xfId="0" applyNumberFormat="1" applyFont="1"/>
  </cellXfs>
  <cellStyles count="4">
    <cellStyle name="Hyperlink" xfId="2" builtinId="8"/>
    <cellStyle name="Normal" xfId="0" builtinId="0"/>
    <cellStyle name="Normal 2" xfId="1" xr:uid="{00000000-0005-0000-0000-000001000000}"/>
    <cellStyle name="Normal 2 2" xfId="3" xr:uid="{2D28ED52-8C1C-4695-AE56-F2899636CA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4FD002C-6AA0-3CA1-FC55-D95204C0E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1">
    <v t="i">0</v>
    <v t="i">3</v>
    <v t="i">4</v>
    <v t="i">5</v>
    <v t="i">6</v>
    <v t="i">7</v>
    <v t="i">10</v>
    <v t="i">11</v>
    <v t="i">12</v>
    <v t="i">13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88</v>
    <v t="i">89</v>
    <v t="i">90</v>
    <v t="i">91</v>
    <v t="i">94</v>
    <v t="i">95</v>
    <v t="i">96</v>
    <v t="i">97</v>
    <v t="i">98</v>
    <v t="i">101</v>
    <v t="i">103</v>
    <v t="i">104</v>
    <v t="i">105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245</v>
    <v t="i">248</v>
    <v t="i">249</v>
    <v t="i">250</v>
    <v t="i">251</v>
    <v t="i">252</v>
    <v t="i">255</v>
    <v t="i">256</v>
    <v t="i">257</v>
    <v t="i">258</v>
    <v t="i">259</v>
    <v t="i">262</v>
    <v t="i">263</v>
    <v t="i">264</v>
    <v t="i">265</v>
    <v t="i">266</v>
    <v t="i">269</v>
    <v t="i">270</v>
    <v t="i">271</v>
    <v t="i">272</v>
    <v t="i">273</v>
    <v t="i">277</v>
    <v t="i">278</v>
    <v t="i">279</v>
    <v t="i">280</v>
    <v t="i">284</v>
    <v t="i">285</v>
    <v t="i">286</v>
    <v t="i">287</v>
    <v t="i">290</v>
    <v t="i">291</v>
    <v t="i">292</v>
    <v t="i">293</v>
    <v t="i">294</v>
    <v t="i">298</v>
    <v t="i">299</v>
    <v t="i">300</v>
    <v t="i">301</v>
    <v t="i">304</v>
    <v t="i">305</v>
    <v t="i">306</v>
    <v t="i">307</v>
    <v t="i">308</v>
    <v t="i">311</v>
    <v t="i">312</v>
    <v t="i">313</v>
    <v t="i">314</v>
    <v t="i">315</v>
    <v t="i">318</v>
    <v t="i">319</v>
    <v t="i">320</v>
    <v t="i">321</v>
    <v t="i">322</v>
    <v t="i">325</v>
    <v t="i">326</v>
    <v t="i">327</v>
    <v t="i">328</v>
    <v t="i">329</v>
    <v t="i">333</v>
    <v t="i">334</v>
    <v t="i">335</v>
    <v t="i">336</v>
    <v t="i">339</v>
    <v t="i">340</v>
    <v t="i">341</v>
    <v t="i">342</v>
    <v t="i">343</v>
    <v t="i">346</v>
    <v t="i">347</v>
    <v t="i">348</v>
    <v t="i">349</v>
    <v t="i">350</v>
    <v t="i">353</v>
    <v t="i">354</v>
    <v t="i">355</v>
    <v t="i">356</v>
    <v t="i">357</v>
    <v t="i">360</v>
    <v t="i">361</v>
    <v t="i">362</v>
    <v t="i">363</v>
    <v t="i">364</v>
    <v t="i">367</v>
    <v t="i">368</v>
    <v t="i">369</v>
    <v t="i">370</v>
    <v t="i">374</v>
    <v t="i">375</v>
    <v t="i">376</v>
    <v t="i">377</v>
    <v t="i">378</v>
    <v t="i">381</v>
    <v t="i">382</v>
    <v t="i">383</v>
    <v t="i">384</v>
    <v t="i">385</v>
    <v t="i">388</v>
    <v t="i">389</v>
    <v t="i">390</v>
    <v t="i">391</v>
    <v t="i">392</v>
    <v t="i">395</v>
    <v t="i">396</v>
    <v t="i">397</v>
    <v t="i">398</v>
    <v t="i">399</v>
    <v t="i">402</v>
    <v t="i">403</v>
    <v t="i">404</v>
    <v t="i">405</v>
    <v t="i">406</v>
    <v t="i">409</v>
    <v t="i">410</v>
    <v t="i">411</v>
    <v t="i">412</v>
    <v t="i">413</v>
    <v t="i">416</v>
    <v t="i">417</v>
    <v t="i">418</v>
    <v t="i">419</v>
    <v t="i">420</v>
    <v t="i">423</v>
    <v t="i">424</v>
    <v t="i">425</v>
    <v t="i">426</v>
    <v t="i">427</v>
    <v t="i">431</v>
    <v t="i">432</v>
    <v t="i">433</v>
    <v t="i">434</v>
    <v t="i">437</v>
    <v t="i">438</v>
    <v t="i">439</v>
    <v t="i">440</v>
    <v t="i">441</v>
    <v t="i">444</v>
    <v t="i">445</v>
    <v t="i">446</v>
    <v t="i">447</v>
    <v t="i">448</v>
    <v t="i">451</v>
    <v t="i">452</v>
    <v t="i">454</v>
    <v t="i">455</v>
    <v t="i">458</v>
    <v t="i">459</v>
    <v t="i">460</v>
    <v t="i">461</v>
    <v t="i">462</v>
    <v t="i">465</v>
    <v t="i">466</v>
    <v t="i">467</v>
    <v t="i">469</v>
    <v t="i">472</v>
    <v t="i">473</v>
    <v t="i">474</v>
    <v t="i">475</v>
    <v t="i">476</v>
    <v t="i">479</v>
    <v t="i">480</v>
    <v t="i">481</v>
    <v t="i">482</v>
    <v t="i">483</v>
    <v t="i">486</v>
    <v t="i">487</v>
    <v t="i">488</v>
    <v t="i">489</v>
    <v t="i">490</v>
    <v t="i">493</v>
    <v t="i">494</v>
    <v t="i">495</v>
    <v t="i">496</v>
    <v t="i">497</v>
    <v t="i">500</v>
    <v t="i">501</v>
    <v t="i">502</v>
    <v t="i">503</v>
    <v t="i">504</v>
    <v t="i">507</v>
    <v t="i">508</v>
    <v t="i">509</v>
    <v t="i">510</v>
    <v t="i">511</v>
    <v t="i">514</v>
    <v t="i">515</v>
    <v t="i">516</v>
    <v t="i">517</v>
    <v t="i">518</v>
    <v t="i">521</v>
    <v t="i">522</v>
    <v t="i">523</v>
    <v t="i">524</v>
    <v t="i">525</v>
    <v t="i">529</v>
    <v t="i">530</v>
    <v t="i">531</v>
    <v t="i">532</v>
    <v t="i">535</v>
    <v t="i">536</v>
    <v t="i">537</v>
    <v t="i">538</v>
    <v t="i">539</v>
    <v t="i">542</v>
    <v t="i">543</v>
    <v t="i">544</v>
    <v t="i">545</v>
    <v t="i">546</v>
    <v t="i">549</v>
    <v t="i">550</v>
    <v t="i">551</v>
    <v t="i">552</v>
    <v t="i">553</v>
    <v t="i">556</v>
    <v t="i">557</v>
    <v t="i">558</v>
    <v t="i">559</v>
    <v t="i">560</v>
    <v t="i">563</v>
    <v t="i">564</v>
    <v t="i">565</v>
    <v t="i">566</v>
    <v t="i">567</v>
    <v t="i">570</v>
    <v t="i">571</v>
    <v t="i">572</v>
    <v t="i">573</v>
    <v t="i">574</v>
    <v t="i">577</v>
    <v t="i">578</v>
    <v t="i">579</v>
    <v t="i">580</v>
    <v t="i">581</v>
    <v t="i">584</v>
    <v t="i">585</v>
    <v t="i">586</v>
    <v t="i">587</v>
    <v t="i">588</v>
    <v t="i">591</v>
    <v t="i">592</v>
    <v t="i">593</v>
    <v t="i">594</v>
    <v t="i">595</v>
    <v t="i">598</v>
    <v t="i">599</v>
    <v t="i">600</v>
    <v t="i">601</v>
    <v t="i">602</v>
    <v t="i">605</v>
    <v t="i">606</v>
    <v t="i">607</v>
    <v t="i">608</v>
    <v t="i">609</v>
    <v t="i">612</v>
    <v t="i">613</v>
    <v t="i">614</v>
    <v t="i">616</v>
    <v t="i">619</v>
    <v t="i">620</v>
    <v t="i">621</v>
    <v t="i">622</v>
    <v t="i">623</v>
    <v t="i">626</v>
    <v t="i">627</v>
    <v t="i">628</v>
    <v t="i">629</v>
    <v t="i">630</v>
    <v t="i">633</v>
    <v t="i">634</v>
    <v t="i">635</v>
    <v t="i">636</v>
    <v t="i">637</v>
    <v t="i">640</v>
    <v t="i">641</v>
    <v t="i">643</v>
    <v t="i">644</v>
    <v t="i">647</v>
    <v t="i">648</v>
    <v t="i">650</v>
    <v t="i">651</v>
    <v t="i">654</v>
    <v t="i">655</v>
    <v t="i">656</v>
    <v t="i">658</v>
    <v t="i">661</v>
    <v t="i">662</v>
    <v t="i">663</v>
    <v t="i">664</v>
    <v t="i">665</v>
    <v t="i">669</v>
    <v t="i">670</v>
    <v t="i">671</v>
    <v t="i">672</v>
    <v t="i">675</v>
    <v t="i">676</v>
    <v t="i">677</v>
    <v t="i">678</v>
    <v t="i">679</v>
    <v t="i">682</v>
    <v t="i">683</v>
    <v t="i">684</v>
    <v t="i">685</v>
    <v t="i">686</v>
    <v t="i">689</v>
    <v t="i">690</v>
    <v t="i">691</v>
    <v t="i">692</v>
    <v t="i">693</v>
    <v t="i">697</v>
    <v t="i">698</v>
    <v t="i">699</v>
    <v t="i">700</v>
    <v t="i">703</v>
    <v t="i">704</v>
    <v t="i">705</v>
    <v t="i">706</v>
    <v t="i">707</v>
    <v t="i">710</v>
    <v t="i">711</v>
    <v t="i">712</v>
    <v t="i">713</v>
    <v t="i">714</v>
    <v t="i">717</v>
    <v t="i">718</v>
    <v t="i">719</v>
    <v t="i">720</v>
    <v t="i">721</v>
    <v t="i">724</v>
    <v t="i">725</v>
    <v t="i">726</v>
    <v t="i">727</v>
    <v t="i">728</v>
    <v t="i">731</v>
    <v t="i">732</v>
    <v t="i">733</v>
    <v t="i">734</v>
    <v t="i">735</v>
    <v t="i">738</v>
    <v t="i">739</v>
    <v t="i">740</v>
    <v t="i">741</v>
    <v t="i">742</v>
    <v t="i">745</v>
    <v t="i">746</v>
    <v t="i">747</v>
    <v t="i">748</v>
    <v t="i">749</v>
    <v t="i">752</v>
    <v t="i">753</v>
    <v t="i">754</v>
    <v t="i">755</v>
    <v t="i">759</v>
    <v t="i">760</v>
    <v t="i">761</v>
    <v t="i">762</v>
    <v t="i">763</v>
    <v t="i">766</v>
    <v t="i">767</v>
    <v t="i">768</v>
    <v t="i">769</v>
    <v t="i">770</v>
    <v t="i">773</v>
    <v t="i">774</v>
    <v t="i">775</v>
    <v t="i">776</v>
    <v t="i">777</v>
    <v t="i">780</v>
    <v t="i">781</v>
    <v t="i">782</v>
    <v t="i">783</v>
    <v t="i">784</v>
    <v t="i">787</v>
    <v t="i">788</v>
    <v t="i">789</v>
    <v t="i">790</v>
    <v t="i">791</v>
    <v t="i">795</v>
    <v t="i">796</v>
    <v t="i">797</v>
    <v t="i">798</v>
    <v t="i">801</v>
    <v t="i">802</v>
    <v t="i">803</v>
    <v t="i">804</v>
    <v t="i">805</v>
    <v t="i">808</v>
    <v t="i">809</v>
    <v t="i">810</v>
    <v t="i">811</v>
    <v t="i">812</v>
    <v t="i">815</v>
    <v t="i">816</v>
    <v t="i">817</v>
    <v t="i">819</v>
    <v t="i">822</v>
    <v t="i">823</v>
    <v t="i">824</v>
    <v t="i">825</v>
    <v t="i">826</v>
    <v t="i">829</v>
    <v t="i">830</v>
    <v t="i">831</v>
    <v t="i">832</v>
    <v t="i">836</v>
    <v t="i">837</v>
    <v t="i">838</v>
    <v t="i">839</v>
    <v t="i">840</v>
    <v t="i">843</v>
    <v t="i">844</v>
    <v t="i">845</v>
    <v t="i">846</v>
    <v t="i">847</v>
    <v t="i">850</v>
    <v t="i">851</v>
    <v t="i">852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913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969</v>
    <v t="i">970</v>
    <v t="i">971</v>
    <v t="i">972</v>
    <v t="i">973</v>
    <v t="i">976</v>
    <v t="i">977</v>
    <v t="i">978</v>
    <v t="i">980</v>
    <v t="i">983</v>
    <v t="i">984</v>
    <v t="i">985</v>
    <v t="i">986</v>
    <v t="i">987</v>
    <v t="i">990</v>
    <v t="i">991</v>
    <v t="i">992</v>
    <v t="i">993</v>
    <v t="i">994</v>
    <v t="i">997</v>
    <v t="i">998</v>
    <v t="i">999</v>
    <v t="i">1000</v>
    <v t="i">1001</v>
    <v t="i">1004</v>
    <v t="i">1005</v>
    <v t="i">1006</v>
    <v t="i">1008</v>
    <v t="i">1011</v>
    <v t="i">1012</v>
    <v t="i">1013</v>
    <v t="i">1015</v>
    <v t="i">1018</v>
    <v t="i">1019</v>
    <v t="i">1020</v>
    <v t="i">1021</v>
    <v t="i">1022</v>
    <v t="i">1025</v>
    <v t="i">1026</v>
    <v t="i">1027</v>
    <v t="i">1028</v>
    <v t="i">1029</v>
    <v t="i">1033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1053</v>
    <v t="i">1054</v>
    <v t="i">1055</v>
    <v t="i">1056</v>
    <v t="i">1057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1081</v>
    <v t="i">1082</v>
    <v t="i">1083</v>
    <v t="i">1084</v>
    <v t="i">1085</v>
    <v t="i">1088</v>
    <v t="i">1089</v>
    <v t="i">1090</v>
    <v t="i">1091</v>
    <v t="i">1092</v>
    <v t="i">1095</v>
  </a>
  <a r="1" c="751"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  <v>632.25</v>
    <v>637.17999999999995</v>
    <v>635.91999999999996</v>
    <v>642.69000000000005</v>
    <v>644.89</v>
    <v>644.95000000000005</v>
    <v>643.44000000000005</v>
    <v>643.29999999999995</v>
    <v>639.80999999999995</v>
    <v>638.11</v>
    <v>635.54999999999995</v>
    <v>645.30999999999995</v>
    <v>642.47</v>
    <v>645.16</v>
    <v>646.63</v>
    <v>648.91999999999996</v>
    <v>645.04999999999995</v>
    <v>640.27</v>
    <v>643.74</v>
    <v>649.12</v>
    <v>647.24</v>
    <v>648.83000000000004</v>
    <v>650.33000000000004</v>
    <v>652.21</v>
    <v>657.63</v>
    <v>657.41</v>
    <v>660.91</v>
    <v>660</v>
    <v>659.18</v>
    <v>662.26</v>
    <v>663.7</v>
    <v>666.84</v>
    <v>663.21</v>
    <v>661.1</v>
    <v>658.05</v>
    <v>661.82</v>
    <v>663.68</v>
    <v>666.18</v>
    <v>668.45</v>
    <v>669.22</v>
    <v>669.21</v>
    <v>671.61</v>
    <v>669.12</v>
    <v>673.11</v>
    <v>671.16</v>
    <v>653.02</v>
    <v>663.04</v>
    <v>662.23</v>
    <v>665.17</v>
    <v>660.64</v>
    <v>664.39</v>
    <v>671.3</v>
    <v>671.29</v>
    <v>667.8</v>
    <v>671.76</v>
    <v>677.25</v>
    <v>685.24</v>
    <v>687.06</v>
    <v>687.39</v>
    <v>679.83</v>
    <v>682.06</v>
    <v>683.34</v>
    <v>675.24</v>
    <v>677.58</v>
    <v>670.31</v>
    <v>670.97</v>
    <v>681.44</v>
    <v>683</v>
    <v>683.38</v>
    <v>672.04</v>
    <v>671.93</v>
    <v>665.67</v>
    <v>660.08</v>
    <v>662.63</v>
    <v>652.53</v>
    <v>659.03</v>
    <v>668.73</v>
    <v>675.02</v>
    <v>679.68</v>
    <v>683.39</v>
    <v>680.27</v>
    <v>681.53</v>
    <v>683.89</v>
    <v>684.39</v>
    <v>685.69</v>
    <v>683.63</v>
    <v>683.04</v>
    <v>687.57</v>
    <v>689.17</v>
    <v>681.76</v>
    <v>680.73</v>
    <v>678.87</v>
    <v>671.4</v>
    <v>676.47</v>
    <v>680.59</v>
    <v>684.83</v>
    <v>687.96</v>
    <v>690.38</v>
    <v>690.31</v>
    <v>687.85</v>
    <v>687.01</v>
    <v>681.92</v>
    <v>683.17</v>
    <v>687.72</v>
    <v>691.81</v>
    <v>689.58</v>
    <v>689.51</v>
    <v>694.07</v>
    <v>695.16</v>
    <v>693.77</v>
    <v>690.36</v>
    <v>692.24</v>
    <v>691.66</v>
    <v>677.58</v>
    <v>685.4</v>
    <v>688.98</v>
    <v>689.23</v>
    <v>692.73</v>
    <v>695.49</v>
    <v>695.42</v>
    <v>694.04</v>
    <v>691.97</v>
    <v>695.41</v>
    <v>689.53</v>
    <v>686.19</v>
    <v>677.62</v>
    <v>690.62</v>
    <v>693.95</v>
    <v>692.12</v>
    <v>691.96</v>
    <v>681.27</v>
    <v>681.75</v>
    <v>682.85</v>
    <v>686.29</v>
    <v>684.48</v>
    <v>689.43</v>
    <v>682.39</v>
    <v>687.35</v>
    <v>693.15</v>
    <v>689.3</v>
    <v>685.99</v>
    <v>686.38</v>
    <v>680.33</v>
    <v>685.13</v>
    <v>681.31</v>
    <v>672.38</v>
    <v>678.27</v>
    <v>677.18</v>
    <v>676.33</v>
    <v>666.06</v>
    <v>662.29</v>
    <v>669.03</v>
    <v>670.79</v>
    <v>661.43</v>
    <v>659.8</v>
    <v>648.57000000000005</v>
    <v>655.38</v>
  </a>
</arrayData>
</file>

<file path=xl/richData/rdrichvalue.xml><?xml version="1.0" encoding="utf-8"?>
<rvData xmlns="http://schemas.microsoft.com/office/spreadsheetml/2017/richdata" count="1">
  <rv s="0">
    <v>0</v>
    <v>^SPY</v>
    <v>Daily</v>
    <v>45009</v>
    <v>46105</v>
    <v>0</v>
    <v>1</v>
    <v>639098208000000000,639099528708810442,0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ages.stern.nyu.edu/~adamodar/New_Home_Page/datafile/ctryprem.html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www.cnbc.com/quotes/US10Y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350"/>
  <sheetViews>
    <sheetView showGridLines="0" tabSelected="1" topLeftCell="A281" zoomScaleNormal="100" workbookViewId="0">
      <selection activeCell="F295" sqref="F295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 customWidth="1"/>
    <col min="8" max="8" width="17.7109375" style="15" customWidth="1"/>
    <col min="9" max="16384" width="17.7109375" style="15"/>
  </cols>
  <sheetData>
    <row r="1" spans="1:19" s="1" customFormat="1" x14ac:dyDescent="0.25">
      <c r="A1" s="40"/>
      <c r="B1" s="41"/>
    </row>
    <row r="2" spans="1:19" s="73" customFormat="1" ht="18.75" customHeight="1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1.2246575342465753</v>
      </c>
      <c r="F4" s="14">
        <f ca="1">IFERROR(YEARFRAC(D7,DATE(D6,MONTH(D12),DAY(D12)),3),1)</f>
        <v>0.22465753424657534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2026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>IFERROR(IF(I8,I8,D6+9),1)</f>
        <v>2031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IF(SUM(--(ISNUMBER(S7:S8)))&gt;0,AVERAGE(S7:S8),IFERROR(_xlfn.XLOOKUP(D7,13:13,68:68),""))</f>
        <v/>
      </c>
    </row>
    <row r="7" spans="1:19" x14ac:dyDescent="0.25">
      <c r="A7" s="50"/>
      <c r="C7" s="15" t="str">
        <f>"Valuation Date"</f>
        <v>Valuation Date</v>
      </c>
      <c r="D7" s="55">
        <f ca="1">TODAY()</f>
        <v>46105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IFERROR(K6,"")</f>
        <v/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>
        <v>2031</v>
      </c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D7,0,0,1)),INDEX(_xlpm.x,,COUNTA(_xlpm.x))),"")</f>
        <v/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")),"")</f>
        <v/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")),"")</f>
        <v/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")),"")</f>
        <v/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")),"")</f>
        <v/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")),"")</f>
        <v/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")),"")</f>
        <v/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")),"")</f>
        <v/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IFERROR(D33:OFFSET(D33,0,$F$6-$D$9)-D30:OFFSET(D30,0,$F$6-$D$9)-D24:OFFSET(D24,0,$F$6-$D$9),"")</f>
        <v/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IFERROR(-D41:OFFSET(D41,0,$F$6-$D$9)*D21:OFFSET(D21,0,$F$6-$D$9),"")</f>
        <v/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IFERROR(D21:OFFSET(D21,0,$F$6-$D$9)+D40:OFFSET(D40,0,$F$6-$D$9),"")</f>
        <v/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IFERROR(D43:OFFSET(D43,0,$F$6-$D$9)+D24:OFFSET(D24,0,$F$6-$D$9)+D36:OFFSET(D36,0,$F$6-$D$9)+D27:OFFSET(D27,0,$F$6-$D$9),"")</f>
        <v/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")),"")</f>
        <v/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IFERROR((D49:OFFSET(D49,0,$F$6-$D$9)+E49:OFFSET(E49,0,$F$6-$D$9))/2,"")</f>
        <v/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IFERROR(C51:OFFSET(C51,0,$F$6-$D$9)*(1-$E$4)+D51:OFFSET(D51,0,$F$6-$D$9)*(1-$F$4),"")</f>
        <v/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")),"")</f>
        <v/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IFERROR(C55:OFFSET(C55,0,$F$6-$D$9)*(1-$E$4)+D55:OFFSET(D55,0,$F$6-$D$9)*(1-$F$4),"")</f>
        <v/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")),"")</f>
        <v/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")),"")</f>
        <v/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IFERROR(_xlfn.ANCHORARRAY(D62)-_xlfn.ANCHORARRAY(D55),"")</f>
        <v/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IFERROR(C64:OFFSET(C64,0,$F$6-$D$9)*(1-$E$4)+D64:OFFSET(D64,0,$F$6-$D$9)*(1-$F$4),"")</f>
        <v/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IFERROR(_xlfn.ANCHORARRAY(D62)/_xlfn.ANCHORARRAY(D18),"")</f>
        <v/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/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/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/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/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>"FY"&amp;F6&amp;" EBITDA"</f>
        <v>FY2031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>"FY"&amp;F6+1&amp;" "&amp;C224</f>
        <v>FY2032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9" s="40" customFormat="1" outlineLevel="1" x14ac:dyDescent="0.25">
      <c r="B289" s="41"/>
    </row>
    <row r="290" spans="1:19" s="1" customFormat="1" x14ac:dyDescent="0.25">
      <c r="A290" s="40"/>
      <c r="B290" s="41"/>
      <c r="C290" s="2" t="s">
        <v>8</v>
      </c>
      <c r="D290" s="122" t="str" cm="1">
        <f t="array" aca="1" ref="D290" ca="1">IF(IFERROR(IF(INDIRECT("Sheet1!B8")&lt;&gt;"",1,0),0)=0,"not applicable","")</f>
        <v>not applicable</v>
      </c>
    </row>
    <row r="291" spans="1:19" s="10" customFormat="1" x14ac:dyDescent="0.25">
      <c r="A291" s="68" t="str">
        <f>""</f>
        <v/>
      </c>
      <c r="B291" s="69"/>
    </row>
    <row r="292" spans="1:19" s="89" customFormat="1" x14ac:dyDescent="0.25">
      <c r="A292" s="88"/>
      <c r="B292" s="41"/>
    </row>
    <row r="293" spans="1:19" s="89" customFormat="1" ht="30" x14ac:dyDescent="0.25">
      <c r="A293" s="88"/>
      <c r="B293" s="41"/>
      <c r="C293" s="112" t="s">
        <v>9</v>
      </c>
      <c r="D293" s="112" t="s">
        <v>10</v>
      </c>
      <c r="E293" s="112" t="s">
        <v>11</v>
      </c>
      <c r="F293" s="113" t="s">
        <v>1</v>
      </c>
      <c r="G293" s="113"/>
      <c r="H293" s="113" t="s">
        <v>21</v>
      </c>
      <c r="I293" s="113"/>
      <c r="J293" s="112" t="s">
        <v>24</v>
      </c>
      <c r="K293" s="113" t="s">
        <v>22</v>
      </c>
      <c r="L293" s="113"/>
      <c r="M293" s="113"/>
      <c r="N293" s="113" t="s">
        <v>12</v>
      </c>
      <c r="O293" s="113"/>
      <c r="P293" s="112" t="s">
        <v>26</v>
      </c>
      <c r="Q293" s="112" t="s">
        <v>13</v>
      </c>
      <c r="R293" s="112" t="s">
        <v>14</v>
      </c>
      <c r="S293" s="112" t="s">
        <v>23</v>
      </c>
    </row>
    <row r="294" spans="1:19" s="89" customFormat="1" ht="30" x14ac:dyDescent="0.25">
      <c r="A294" s="88"/>
      <c r="B294" s="41"/>
      <c r="C294" s="112"/>
      <c r="D294" s="112"/>
      <c r="E294" s="112"/>
      <c r="F294" s="114" t="s">
        <v>15</v>
      </c>
      <c r="G294" s="114" t="s">
        <v>19</v>
      </c>
      <c r="H294" s="114" t="s">
        <v>20</v>
      </c>
      <c r="I294" s="114" t="s">
        <v>25</v>
      </c>
      <c r="J294" s="112"/>
      <c r="K294" s="114" t="s">
        <v>3</v>
      </c>
      <c r="L294" s="114" t="s">
        <v>4</v>
      </c>
      <c r="M294" s="114" t="s">
        <v>5</v>
      </c>
      <c r="N294" s="114" t="s">
        <v>16</v>
      </c>
      <c r="O294" s="114" t="s">
        <v>17</v>
      </c>
      <c r="P294" s="112"/>
      <c r="Q294" s="112"/>
      <c r="R294" s="112"/>
      <c r="S294" s="112"/>
    </row>
    <row r="295" spans="1:19" s="89" customFormat="1" x14ac:dyDescent="0.25">
      <c r="A295" s="88"/>
      <c r="B295" s="41"/>
      <c r="C295" s="90" t="str" cm="1">
        <f t="array" aca="1" ref="C295" ca="1">IFERROR(_xlfn.TEXTBEFORE(INDIRECT("Sheet1!B8")," ("),"")</f>
        <v/>
      </c>
      <c r="D295" s="91" t="str" cm="1">
        <f t="array" aca="1" ref="D295" ca="1">IFERROR(_xlfn.TEXTBEFORE(_xlfn.TEXTAFTER(INDIRECT("Sheet1!B8"),"("),")"),"")</f>
        <v/>
      </c>
      <c r="E295" s="119" t="str" cm="1">
        <f t="array" aca="1" ref="E295" ca="1">IFERROR(_xlfn.XLOOKUP("SP_PERIOD_END",INDIRECT("312:312"),INDIRECT("315:325")),"")</f>
        <v/>
      </c>
      <c r="F295" s="92" t="str" cm="1">
        <f t="array" aca="1" ref="F295" ca="1">IFERROR(_xlfn.XLOOKUP("SP_PRICE_CLOSE",INDIRECT("312:312"),INDIRECT("315:330")),"")</f>
        <v/>
      </c>
      <c r="G295" s="93" t="str" cm="1">
        <f t="array" aca="1" ref="G295" ca="1">IFERROR(_xlfn.XLOOKUP("SP_MARKETCAP",INDIRECT("312:312"),INDIRECT("315:330")),"")</f>
        <v/>
      </c>
      <c r="H295" s="93" t="str" cm="1">
        <f t="array" aca="1" ref="H295" ca="1">IFERROR(_xlfn.XLOOKUP("SP_TOTAL_DEBT",INDIRECT("312:312"),INDIRECT("315:330"))/1000,"")</f>
        <v/>
      </c>
      <c r="I295" s="93" t="str" cm="1">
        <f t="array" aca="1" ref="I295" ca="1">IFERROR(_xlfn.XLOOKUP("SP_NONCONTROLLING_INTS",INDIRECT("312:312"),INDIRECT("315:330")),"")</f>
        <v/>
      </c>
      <c r="J295" s="93" t="str" cm="1">
        <f t="array" aca="1" ref="J295" ca="1">IFERROR(_xlfn.XLOOKUP("IQ_TEV",INDIRECT("312:312"),INDIRECT("315:330")),"")</f>
        <v/>
      </c>
      <c r="K295" s="93" t="str" cm="1">
        <f t="array" aca="1" ref="K295" ca="1">IFERROR(_xlfn.XLOOKUP("SP_TOTAL_REV",INDIRECT("312:312"),INDIRECT("315:330"))/1000,"")</f>
        <v/>
      </c>
      <c r="L295" s="93" t="str" cm="1">
        <f t="array" aca="1" ref="L295" ca="1">IFERROR(_xlfn.XLOOKUP("SP_EBITDA",INDIRECT("312:312"),INDIRECT("315:330"))/1000,"")</f>
        <v/>
      </c>
      <c r="M295" s="93" t="str" cm="1">
        <f t="array" aca="1" ref="M295" ca="1">IFERROR(_xlfn.XLOOKUP("SP_EBIT",INDIRECT("312:312"),INDIRECT("315:330"))/1000,"")</f>
        <v/>
      </c>
      <c r="N295" s="94" t="str" cm="1">
        <f t="array" aca="1" ref="N295" ca="1">IFERROR(_xlfn.ANCHORARRAY(J295)/_xlfn.ANCHORARRAY(L295),"")</f>
        <v/>
      </c>
      <c r="O295" s="94" t="str" cm="1">
        <f t="array" aca="1" ref="O295" ca="1">IFERROR(_xlfn.XLOOKUP("IQ_PE",INDIRECT("312:312"),INDIRECT("315:330")),"")</f>
        <v/>
      </c>
      <c r="P295" s="92" t="str" cm="1">
        <f t="array" aca="1" ref="P295" ca="1">IFERROR(_xlfn.XLOOKUP("SP_DILUT_EPS_AFTER_EXTRA",INDIRECT("312:312"),INDIRECT("315:330")),"")</f>
        <v/>
      </c>
      <c r="Q295" s="92" t="str" cm="1">
        <f t="array" aca="1" ref="Q295" ca="1">IFERROR(_xlfn.XLOOKUP("SP_BVPS",INDIRECT("312:312"),INDIRECT("315:330")),"")</f>
        <v/>
      </c>
      <c r="R295" s="94" t="str" cm="1">
        <f t="array" aca="1" ref="R295" ca="1">IFERROR(_xlfn.XLOOKUP("IQ_PTBV_X",INDIRECT("312:312"),INDIRECT("315:330")),"")</f>
        <v/>
      </c>
      <c r="S295" s="93" t="str" cm="1">
        <f t="array" aca="1" ref="S295" ca="1">IFERROR(_xlfn.XLOOKUP("SP_NET_INC",INDIRECT("312:312"),INDIRECT("315:330"))/1000,"")</f>
        <v/>
      </c>
    </row>
    <row r="296" spans="1:19" s="89" customFormat="1" x14ac:dyDescent="0.25">
      <c r="A296" s="88"/>
      <c r="B296" s="41"/>
      <c r="C296" s="95" t="str" cm="1">
        <f t="array" aca="1" ref="C296" ca="1">IFERROR(_xlfn.TEXTBEFORE(INDIRECT("Sheet1!B9")," ("),"")</f>
        <v/>
      </c>
      <c r="D296" s="96" t="str" cm="1">
        <f t="array" aca="1" ref="D296" ca="1">IFERROR(_xlfn.TEXTBEFORE(_xlfn.TEXTAFTER(INDIRECT("Sheet1!B9"),"("),")"),"")</f>
        <v/>
      </c>
      <c r="E296" s="120"/>
      <c r="F296" s="97"/>
      <c r="G296" s="98"/>
      <c r="H296" s="98"/>
      <c r="I296" s="98"/>
      <c r="J296" s="98"/>
      <c r="K296" s="98"/>
      <c r="L296" s="98"/>
      <c r="M296" s="98"/>
      <c r="N296" s="99"/>
      <c r="O296" s="99"/>
      <c r="P296" s="97"/>
      <c r="Q296" s="97"/>
      <c r="R296" s="99"/>
      <c r="S296" s="98"/>
    </row>
    <row r="297" spans="1:19" s="89" customFormat="1" x14ac:dyDescent="0.25">
      <c r="A297" s="88"/>
      <c r="B297" s="41"/>
      <c r="C297" s="90" t="str" cm="1">
        <f t="array" aca="1" ref="C297" ca="1">IFERROR(_xlfn.TEXTBEFORE(INDIRECT("Sheet1!B10")," ("),"")</f>
        <v/>
      </c>
      <c r="D297" s="91" t="str" cm="1">
        <f t="array" aca="1" ref="D297" ca="1">IFERROR(IFERROR(_xlfn.TEXTBEFORE(_xlfn.TEXTAFTER(INDIRECT("Sheet1!B10"),"("),")"),""),"")</f>
        <v/>
      </c>
      <c r="E297" s="119"/>
      <c r="F297" s="92"/>
      <c r="G297" s="93"/>
      <c r="H297" s="93"/>
      <c r="I297" s="93"/>
      <c r="J297" s="93"/>
      <c r="K297" s="93"/>
      <c r="L297" s="93"/>
      <c r="M297" s="93"/>
      <c r="N297" s="94"/>
      <c r="O297" s="94"/>
      <c r="P297" s="92"/>
      <c r="Q297" s="92"/>
      <c r="R297" s="94"/>
      <c r="S297" s="93"/>
    </row>
    <row r="298" spans="1:19" s="89" customFormat="1" x14ac:dyDescent="0.25">
      <c r="A298" s="88"/>
      <c r="B298" s="41"/>
      <c r="C298" s="95" t="str" cm="1">
        <f t="array" aca="1" ref="C298" ca="1">IFERROR(_xlfn.TEXTBEFORE(INDIRECT("Sheet1!B11")," ("),"")</f>
        <v/>
      </c>
      <c r="D298" s="96" t="str" cm="1">
        <f t="array" aca="1" ref="D298" ca="1">IFERROR(_xlfn.TEXTBEFORE(_xlfn.TEXTAFTER(INDIRECT("Sheet1!B11"),"("),")"),"")</f>
        <v/>
      </c>
      <c r="E298" s="120"/>
      <c r="F298" s="97"/>
      <c r="G298" s="98"/>
      <c r="H298" s="98"/>
      <c r="I298" s="98"/>
      <c r="J298" s="98"/>
      <c r="K298" s="98"/>
      <c r="L298" s="98"/>
      <c r="M298" s="98"/>
      <c r="N298" s="99"/>
      <c r="O298" s="99"/>
      <c r="P298" s="97"/>
      <c r="Q298" s="97"/>
      <c r="R298" s="99"/>
      <c r="S298" s="98"/>
    </row>
    <row r="299" spans="1:19" s="89" customFormat="1" x14ac:dyDescent="0.25">
      <c r="A299" s="88"/>
      <c r="B299" s="41"/>
      <c r="C299" s="90" t="str" cm="1">
        <f t="array" aca="1" ref="C299" ca="1">IFERROR(_xlfn.TEXTBEFORE(INDIRECT("Sheet1!B12")," ("),"")</f>
        <v/>
      </c>
      <c r="D299" s="91" t="str" cm="1">
        <f t="array" aca="1" ref="D299" ca="1">IFERROR(_xlfn.TEXTBEFORE(_xlfn.TEXTAFTER(INDIRECT("Sheet1!B12"),"("),")"),"")</f>
        <v/>
      </c>
      <c r="E299" s="119"/>
      <c r="F299" s="92"/>
      <c r="G299" s="93"/>
      <c r="H299" s="93"/>
      <c r="I299" s="93"/>
      <c r="J299" s="93"/>
      <c r="K299" s="93"/>
      <c r="L299" s="93"/>
      <c r="M299" s="93"/>
      <c r="N299" s="94"/>
      <c r="O299" s="94"/>
      <c r="P299" s="92"/>
      <c r="Q299" s="92"/>
      <c r="R299" s="94"/>
      <c r="S299" s="93"/>
    </row>
    <row r="300" spans="1:19" s="89" customFormat="1" x14ac:dyDescent="0.25">
      <c r="A300" s="88"/>
      <c r="B300" s="41"/>
      <c r="C300" s="95" t="str" cm="1">
        <f t="array" aca="1" ref="C300" ca="1">IFERROR(_xlfn.TEXTBEFORE(INDIRECT("Sheet1!B13")," ("),"")</f>
        <v/>
      </c>
      <c r="D300" s="96" t="str" cm="1">
        <f t="array" aca="1" ref="D300" ca="1">IFERROR(_xlfn.TEXTBEFORE(_xlfn.TEXTAFTER(INDIRECT("Sheet1!B13"),"("),")"),"")</f>
        <v/>
      </c>
      <c r="E300" s="120"/>
      <c r="F300" s="97"/>
      <c r="G300" s="98"/>
      <c r="H300" s="98"/>
      <c r="I300" s="98"/>
      <c r="J300" s="98"/>
      <c r="K300" s="98"/>
      <c r="L300" s="98"/>
      <c r="M300" s="98"/>
      <c r="N300" s="99"/>
      <c r="O300" s="99"/>
      <c r="P300" s="97"/>
      <c r="Q300" s="97"/>
      <c r="R300" s="99"/>
      <c r="S300" s="98"/>
    </row>
    <row r="301" spans="1:19" s="89" customFormat="1" x14ac:dyDescent="0.25">
      <c r="A301" s="88"/>
      <c r="B301" s="41"/>
      <c r="C301" s="90" t="str" cm="1">
        <f t="array" aca="1" ref="C301" ca="1">IFERROR(_xlfn.TEXTBEFORE(INDIRECT("Sheet1!B14")," ("),"")</f>
        <v/>
      </c>
      <c r="D301" s="91" t="str" cm="1">
        <f t="array" aca="1" ref="D301" ca="1">IFERROR(_xlfn.TEXTBEFORE(_xlfn.TEXTAFTER(INDIRECT("Sheet1!B14"),"("),")"),"")</f>
        <v/>
      </c>
      <c r="E301" s="119"/>
      <c r="F301" s="92"/>
      <c r="G301" s="93"/>
      <c r="H301" s="93"/>
      <c r="I301" s="93"/>
      <c r="J301" s="93"/>
      <c r="K301" s="93"/>
      <c r="L301" s="93"/>
      <c r="M301" s="93"/>
      <c r="N301" s="94"/>
      <c r="O301" s="94"/>
      <c r="P301" s="92"/>
      <c r="Q301" s="92"/>
      <c r="R301" s="94"/>
      <c r="S301" s="93"/>
    </row>
    <row r="302" spans="1:19" s="89" customFormat="1" x14ac:dyDescent="0.25">
      <c r="A302" s="88"/>
      <c r="B302" s="41"/>
      <c r="C302" s="95" t="str" cm="1">
        <f t="array" aca="1" ref="C302" ca="1">IFERROR(_xlfn.TEXTBEFORE(INDIRECT("Sheet1!B15")," ("),"")</f>
        <v/>
      </c>
      <c r="D302" s="96" t="str" cm="1">
        <f t="array" aca="1" ref="D302" ca="1">IFERROR(_xlfn.TEXTBEFORE(_xlfn.TEXTAFTER(INDIRECT("Sheet1!B15"),"("),")"),"")</f>
        <v/>
      </c>
      <c r="E302" s="120"/>
      <c r="F302" s="97"/>
      <c r="G302" s="98"/>
      <c r="H302" s="98"/>
      <c r="I302" s="98"/>
      <c r="J302" s="98"/>
      <c r="K302" s="98"/>
      <c r="L302" s="98"/>
      <c r="M302" s="98"/>
      <c r="N302" s="99"/>
      <c r="O302" s="99"/>
      <c r="P302" s="97"/>
      <c r="Q302" s="97"/>
      <c r="R302" s="99"/>
      <c r="S302" s="98"/>
    </row>
    <row r="303" spans="1:19" s="89" customFormat="1" x14ac:dyDescent="0.25">
      <c r="A303" s="88"/>
      <c r="B303" s="41"/>
      <c r="C303" s="90" t="str" cm="1">
        <f t="array" aca="1" ref="C303" ca="1">IFERROR(_xlfn.TEXTBEFORE(INDIRECT("Sheet1!B16")," ("),"")</f>
        <v/>
      </c>
      <c r="D303" s="91" t="str" cm="1">
        <f t="array" aca="1" ref="D303" ca="1">IFERROR(_xlfn.TEXTBEFORE(_xlfn.TEXTAFTER(INDIRECT("Sheet1!B16"),"("),")"),"")</f>
        <v/>
      </c>
      <c r="E303" s="119"/>
      <c r="F303" s="92"/>
      <c r="G303" s="93"/>
      <c r="H303" s="93"/>
      <c r="I303" s="93"/>
      <c r="J303" s="93"/>
      <c r="K303" s="93"/>
      <c r="L303" s="93"/>
      <c r="M303" s="93"/>
      <c r="N303" s="94"/>
      <c r="O303" s="94"/>
      <c r="P303" s="92"/>
      <c r="Q303" s="92"/>
      <c r="R303" s="94"/>
      <c r="S303" s="93"/>
    </row>
    <row r="304" spans="1:19" s="89" customFormat="1" ht="15.75" thickBot="1" x14ac:dyDescent="0.3">
      <c r="A304" s="88"/>
      <c r="B304" s="41"/>
      <c r="C304" s="95" t="str" cm="1">
        <f t="array" aca="1" ref="C304" ca="1">IFERROR(_xlfn.TEXTBEFORE(INDIRECT("Sheet1!B17")," ("),"")</f>
        <v/>
      </c>
      <c r="D304" s="96" t="str" cm="1">
        <f t="array" aca="1" ref="D304" ca="1">IFERROR(_xlfn.TEXTBEFORE(_xlfn.TEXTAFTER(INDIRECT("Sheet1!B17"),"("),")"),"")</f>
        <v/>
      </c>
      <c r="E304" s="120"/>
      <c r="F304" s="97"/>
      <c r="G304" s="98"/>
      <c r="H304" s="98"/>
      <c r="I304" s="98"/>
      <c r="J304" s="98"/>
      <c r="K304" s="98"/>
      <c r="L304" s="98"/>
      <c r="M304" s="98"/>
      <c r="N304" s="99"/>
      <c r="O304" s="99"/>
      <c r="P304" s="97"/>
      <c r="Q304" s="97"/>
      <c r="R304" s="99"/>
      <c r="S304" s="98"/>
    </row>
    <row r="305" spans="1:61" customFormat="1" x14ac:dyDescent="0.25">
      <c r="A305" s="88"/>
      <c r="B305" s="41"/>
      <c r="C305" s="100" t="str" cm="1">
        <f t="array" aca="1" ref="C305" ca="1">IFERROR(_xlfn.TEXTBEFORE(INDIRECT("Sheet1!B18")," ("),"")</f>
        <v/>
      </c>
      <c r="D305" s="101" t="str" cm="1">
        <f t="array" aca="1" ref="D305" ca="1">IFERROR(_xlfn.TEXTBEFORE(_xlfn.TEXTAFTER(INDIRECT("Sheet1!B18"),"("),")"),"")</f>
        <v/>
      </c>
      <c r="E305" s="121"/>
      <c r="F305" s="102"/>
      <c r="G305" s="103"/>
      <c r="H305" s="104"/>
      <c r="I305" s="104"/>
      <c r="J305" s="103"/>
      <c r="K305" s="104"/>
      <c r="L305" s="104"/>
      <c r="M305" s="104"/>
      <c r="N305" s="105"/>
      <c r="O305" s="105"/>
      <c r="P305" s="107"/>
      <c r="Q305" s="107"/>
      <c r="R305" s="106"/>
      <c r="S305" s="104"/>
    </row>
    <row r="306" spans="1:61" customFormat="1" x14ac:dyDescent="0.25">
      <c r="C306" s="118"/>
      <c r="D306" s="118"/>
      <c r="E306" s="118"/>
      <c r="F306" s="118"/>
      <c r="G306" s="118"/>
      <c r="H306" s="118"/>
      <c r="I306" s="118"/>
      <c r="J306" s="118"/>
      <c r="K306" s="118"/>
      <c r="L306" s="118"/>
      <c r="M306" s="118"/>
      <c r="N306" s="118"/>
      <c r="O306" s="118"/>
      <c r="P306" s="118"/>
      <c r="Q306" s="118"/>
      <c r="R306" s="118"/>
      <c r="S306" s="118"/>
    </row>
    <row r="307" spans="1:61" customFormat="1" x14ac:dyDescent="0.25">
      <c r="A307" s="88"/>
      <c r="B307" s="41"/>
      <c r="C307" s="115" t="s">
        <v>6</v>
      </c>
      <c r="D307" s="116"/>
      <c r="E307" s="117"/>
      <c r="F307" s="108"/>
      <c r="G307" s="109"/>
      <c r="H307" s="109"/>
      <c r="I307" s="109"/>
      <c r="J307" s="109"/>
      <c r="K307" s="109"/>
      <c r="L307" s="109"/>
      <c r="M307" s="109"/>
      <c r="N307" s="110"/>
      <c r="O307" s="111"/>
      <c r="P307" s="108"/>
      <c r="Q307" s="108"/>
      <c r="R307" s="111"/>
      <c r="S307" s="109"/>
    </row>
    <row r="308" spans="1:61" customFormat="1" x14ac:dyDescent="0.25">
      <c r="A308" s="88"/>
      <c r="B308" s="41"/>
      <c r="C308" s="115" t="s">
        <v>2</v>
      </c>
      <c r="D308" s="116"/>
      <c r="E308" s="117"/>
      <c r="F308" s="108"/>
      <c r="G308" s="109"/>
      <c r="H308" s="109"/>
      <c r="I308" s="109"/>
      <c r="J308" s="109"/>
      <c r="K308" s="109"/>
      <c r="L308" s="109"/>
      <c r="M308" s="109"/>
      <c r="N308" s="110"/>
      <c r="O308" s="111"/>
      <c r="P308" s="108"/>
      <c r="Q308" s="108"/>
      <c r="R308" s="111"/>
      <c r="S308" s="109"/>
    </row>
    <row r="309" spans="1:61" s="89" customFormat="1" x14ac:dyDescent="0.25">
      <c r="A309" s="88"/>
      <c r="B309" s="41"/>
      <c r="C309" s="115" t="s">
        <v>18</v>
      </c>
      <c r="D309" s="116"/>
      <c r="E309" s="117"/>
      <c r="F309" s="108"/>
      <c r="G309" s="109"/>
      <c r="H309" s="109"/>
      <c r="I309" s="109"/>
      <c r="J309" s="109"/>
      <c r="K309" s="109"/>
      <c r="L309" s="109"/>
      <c r="M309" s="109"/>
      <c r="N309" s="110"/>
      <c r="O309" s="111"/>
      <c r="P309" s="108"/>
      <c r="Q309" s="108"/>
      <c r="R309" s="111"/>
      <c r="S309" s="109"/>
    </row>
    <row r="310" spans="1:61" s="89" customFormat="1" x14ac:dyDescent="0.25">
      <c r="A310" s="88"/>
      <c r="B310" s="41"/>
      <c r="C310" s="115" t="s">
        <v>7</v>
      </c>
      <c r="D310" s="116"/>
      <c r="E310" s="117"/>
      <c r="F310" s="108"/>
      <c r="G310" s="109"/>
      <c r="H310" s="109"/>
      <c r="I310" s="109"/>
      <c r="J310" s="109"/>
      <c r="K310" s="109"/>
      <c r="L310" s="109"/>
      <c r="M310" s="109"/>
      <c r="N310" s="110"/>
      <c r="O310" s="111"/>
      <c r="P310" s="108"/>
      <c r="Q310" s="108"/>
      <c r="R310" s="111"/>
      <c r="S310" s="109"/>
    </row>
    <row r="311" spans="1:61" s="89" customFormat="1" x14ac:dyDescent="0.25">
      <c r="A311" s="88"/>
      <c r="B311" s="41"/>
    </row>
    <row r="312" spans="1:61" s="11" customFormat="1" x14ac:dyDescent="0.25">
      <c r="A312" s="41"/>
      <c r="B312" s="41"/>
      <c r="C312" s="11" t="str" cm="1">
        <f t="array" aca="1" ref="C312" ca="1">IFERROR(_xlfn._xlws.FILTER(INDIRECT("Sheet1!5:23"),INDIRECT("Sheet1!5:5")&lt;&gt;""),"")</f>
        <v/>
      </c>
      <c r="AF312" s="11" t="str" cm="1">
        <f t="array" aca="1" ref="AF312" ca="1">IFERROR(_xlfn._xlws.FILTER(INDIRECT("Sheet2!5:23"),INDIRECT("Sheet2!5:5")&lt;&gt;""),"")</f>
        <v/>
      </c>
      <c r="BI312" s="11" t="str" cm="1">
        <f t="array" aca="1" ref="BI312" ca="1">IFERROR(_xlfn._xlws.FILTER(INDIRECT("Sheet3!5:23"),INDIRECT("Sheet3!5:5")&lt;&gt;""),"")</f>
        <v/>
      </c>
    </row>
    <row r="313" spans="1:61" s="11" customFormat="1" x14ac:dyDescent="0.25">
      <c r="A313" s="41"/>
      <c r="B313" s="41"/>
    </row>
    <row r="314" spans="1:61" s="11" customFormat="1" x14ac:dyDescent="0.25">
      <c r="A314" s="41"/>
      <c r="B314" s="41"/>
    </row>
    <row r="315" spans="1:61" s="11" customFormat="1" x14ac:dyDescent="0.25">
      <c r="A315" s="41"/>
      <c r="B315" s="41"/>
    </row>
    <row r="316" spans="1:61" s="11" customFormat="1" x14ac:dyDescent="0.25">
      <c r="A316" s="41"/>
      <c r="B316" s="41"/>
    </row>
    <row r="317" spans="1:61" s="11" customFormat="1" x14ac:dyDescent="0.25">
      <c r="A317" s="41"/>
      <c r="B317" s="41"/>
    </row>
    <row r="318" spans="1:61" s="11" customFormat="1" x14ac:dyDescent="0.25">
      <c r="A318" s="41"/>
      <c r="B318" s="41"/>
    </row>
    <row r="319" spans="1:61" s="11" customFormat="1" x14ac:dyDescent="0.25">
      <c r="A319" s="41"/>
      <c r="B319" s="41"/>
    </row>
    <row r="320" spans="1:61" s="11" customFormat="1" x14ac:dyDescent="0.25">
      <c r="A320" s="41"/>
      <c r="B320" s="41"/>
    </row>
    <row r="321" spans="1:2" s="11" customFormat="1" x14ac:dyDescent="0.25">
      <c r="A321" s="41"/>
      <c r="B321" s="41"/>
    </row>
    <row r="322" spans="1:2" s="11" customFormat="1" x14ac:dyDescent="0.25">
      <c r="A322" s="41"/>
      <c r="B322" s="41"/>
    </row>
    <row r="323" spans="1:2" s="11" customFormat="1" x14ac:dyDescent="0.25">
      <c r="A323" s="41"/>
      <c r="B323" s="41"/>
    </row>
    <row r="324" spans="1:2" s="11" customFormat="1" x14ac:dyDescent="0.25">
      <c r="A324" s="41"/>
      <c r="B324" s="41"/>
    </row>
    <row r="325" spans="1:2" s="11" customFormat="1" x14ac:dyDescent="0.25">
      <c r="A325" s="41"/>
      <c r="B325" s="41"/>
    </row>
    <row r="326" spans="1:2" s="11" customFormat="1" x14ac:dyDescent="0.25">
      <c r="A326" s="41"/>
      <c r="B326" s="41"/>
    </row>
    <row r="327" spans="1:2" s="11" customFormat="1" x14ac:dyDescent="0.25">
      <c r="A327" s="41"/>
      <c r="B327" s="41"/>
    </row>
    <row r="328" spans="1:2" s="11" customFormat="1" x14ac:dyDescent="0.25">
      <c r="A328" s="41"/>
      <c r="B328" s="41"/>
    </row>
    <row r="329" spans="1:2" s="11" customFormat="1" x14ac:dyDescent="0.25">
      <c r="A329" s="41"/>
      <c r="B329" s="41"/>
    </row>
    <row r="330" spans="1:2" s="11" customFormat="1" x14ac:dyDescent="0.25">
      <c r="A330" s="41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mergeCells count="8">
    <mergeCell ref="Q293:Q294"/>
    <mergeCell ref="R293:R294"/>
    <mergeCell ref="S293:S294"/>
    <mergeCell ref="C293:C294"/>
    <mergeCell ref="D293:D294"/>
    <mergeCell ref="E293:E294"/>
    <mergeCell ref="J293:J294"/>
    <mergeCell ref="P293:P294"/>
  </mergeCells>
  <dataValidations disablePrompts="1" count="1">
    <dataValidation type="list" allowBlank="1" showInputMessage="1" showErrorMessage="1" sqref="F8" xr:uid="{00000000-0002-0000-0000-000000000000}">
      <formula1>$H$5:$K$5</formula1>
    </dataValidation>
  </dataValidations>
  <hyperlinks>
    <hyperlink ref="C269" r:id="rId1" display="Risk-Free Rate" xr:uid="{00000000-0004-0000-0000-000000000000}"/>
    <hyperlink ref="C270" r:id="rId2" display="Market Risk Premium" xr:uid="{00000000-0004-0000-0000-000001000000}"/>
    <hyperlink ref="C271" r:id="rId3" display="Country Risk Premium" xr:uid="{00000000-0004-0000-0000-00000200000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Dang Duong Nguyen</cp:lastModifiedBy>
  <dcterms:created xsi:type="dcterms:W3CDTF">2025-08-04T14:24:16Z</dcterms:created>
  <dcterms:modified xsi:type="dcterms:W3CDTF">2026-03-24T13:06:11Z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