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recent\"/>
    </mc:Choice>
  </mc:AlternateContent>
  <xr:revisionPtr revIDLastSave="0" documentId="13_ncr:1_{FAF8D09F-A5A6-451F-85DD-DF306CBDACD0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2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290" i="2" l="1"/>
  <c r="DC290" i="2"/>
  <c r="DB290" i="2"/>
  <c r="DA290" i="2"/>
  <c r="CZ290" i="2"/>
  <c r="CY290" i="2"/>
  <c r="CX290" i="2"/>
  <c r="CW290" i="2"/>
  <c r="CV290" i="2"/>
  <c r="CU290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BZ290" i="2"/>
  <c r="BY290" i="2"/>
  <c r="BX290" i="2"/>
  <c r="BW290" i="2"/>
  <c r="BV290" i="2"/>
  <c r="BU290" i="2"/>
  <c r="BT290" i="2"/>
  <c r="BS290" i="2"/>
  <c r="BR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BB290" i="2"/>
  <c r="BA290" i="2"/>
  <c r="AZ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AL290" i="2"/>
  <c r="AK290" i="2"/>
  <c r="AJ290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C288" i="2"/>
  <c r="C287" i="2"/>
  <c r="C286" i="2"/>
  <c r="C283" i="2"/>
  <c r="C282" i="2"/>
  <c r="C281" i="2"/>
  <c r="C279" i="2"/>
  <c r="C278" i="2"/>
  <c r="C276" i="2"/>
  <c r="C275" i="2"/>
  <c r="C274" i="2"/>
  <c r="C272" i="2"/>
  <c r="D271" i="2"/>
  <c r="C271" i="2"/>
  <c r="D270" i="2"/>
  <c r="C270" i="2"/>
  <c r="D269" i="2"/>
  <c r="C269" i="2"/>
  <c r="C268" i="2"/>
  <c r="A266" i="2"/>
  <c r="C265" i="2"/>
  <c r="C263" i="2"/>
  <c r="C262" i="2"/>
  <c r="C261" i="2"/>
  <c r="H258" i="2"/>
  <c r="H259" i="2" s="1"/>
  <c r="H260" i="2" s="1"/>
  <c r="H261" i="2" s="1"/>
  <c r="H262" i="2" s="1"/>
  <c r="H263" i="2" s="1"/>
  <c r="C258" i="2"/>
  <c r="H257" i="2"/>
  <c r="H256" i="2"/>
  <c r="H255" i="2" s="1"/>
  <c r="H254" i="2" s="1"/>
  <c r="H253" i="2" s="1"/>
  <c r="H252" i="2" s="1"/>
  <c r="C256" i="2"/>
  <c r="C254" i="2"/>
  <c r="C253" i="2"/>
  <c r="C252" i="2"/>
  <c r="K251" i="2"/>
  <c r="L251" i="2" s="1"/>
  <c r="M251" i="2" s="1"/>
  <c r="J251" i="2"/>
  <c r="I251" i="2" s="1"/>
  <c r="C250" i="2"/>
  <c r="K250" i="2" s="1"/>
  <c r="A248" i="2"/>
  <c r="F247" i="2"/>
  <c r="C247" i="2"/>
  <c r="C245" i="2"/>
  <c r="C244" i="2"/>
  <c r="C243" i="2"/>
  <c r="C240" i="2"/>
  <c r="H239" i="2"/>
  <c r="H240" i="2" s="1"/>
  <c r="H241" i="2" s="1"/>
  <c r="H242" i="2" s="1"/>
  <c r="H243" i="2" s="1"/>
  <c r="H244" i="2" s="1"/>
  <c r="H245" i="2" s="1"/>
  <c r="C238" i="2"/>
  <c r="C236" i="2"/>
  <c r="C235" i="2"/>
  <c r="C234" i="2"/>
  <c r="K233" i="2"/>
  <c r="L233" i="2" s="1"/>
  <c r="M233" i="2" s="1"/>
  <c r="J233" i="2"/>
  <c r="I233" i="2"/>
  <c r="A230" i="2"/>
  <c r="F229" i="2"/>
  <c r="C229" i="2"/>
  <c r="C227" i="2"/>
  <c r="C225" i="2"/>
  <c r="C222" i="2"/>
  <c r="C221" i="2"/>
  <c r="A220" i="2"/>
  <c r="C219" i="2"/>
  <c r="C217" i="2"/>
  <c r="C214" i="2"/>
  <c r="C192" i="2"/>
  <c r="A191" i="2"/>
  <c r="C190" i="2"/>
  <c r="K5" i="2" s="1"/>
  <c r="C188" i="2"/>
  <c r="C185" i="2"/>
  <c r="C179" i="2"/>
  <c r="C166" i="2"/>
  <c r="C163" i="2"/>
  <c r="A162" i="2"/>
  <c r="C161" i="2"/>
  <c r="C159" i="2"/>
  <c r="C156" i="2"/>
  <c r="C150" i="2"/>
  <c r="C134" i="2"/>
  <c r="A133" i="2"/>
  <c r="C132" i="2"/>
  <c r="C130" i="2"/>
  <c r="C127" i="2"/>
  <c r="C111" i="2"/>
  <c r="C105" i="2"/>
  <c r="A104" i="2"/>
  <c r="C103" i="2"/>
  <c r="C88" i="2"/>
  <c r="C84" i="2"/>
  <c r="C76" i="2"/>
  <c r="A75" i="2"/>
  <c r="C72" i="2"/>
  <c r="C70" i="2"/>
  <c r="C68" i="2"/>
  <c r="C66" i="2"/>
  <c r="C64" i="2"/>
  <c r="C62" i="2"/>
  <c r="C60" i="2"/>
  <c r="C277" i="2" s="1"/>
  <c r="C58" i="2"/>
  <c r="C56" i="2"/>
  <c r="C55" i="2"/>
  <c r="C257" i="2" s="1"/>
  <c r="C285" i="2" s="1"/>
  <c r="C53" i="2"/>
  <c r="C242" i="2" s="1"/>
  <c r="C51" i="2"/>
  <c r="C49" i="2"/>
  <c r="C47" i="2"/>
  <c r="C101" i="2" s="1"/>
  <c r="C46" i="2"/>
  <c r="C129" i="2" s="1"/>
  <c r="C44" i="2"/>
  <c r="C98" i="2" s="1"/>
  <c r="C43" i="2"/>
  <c r="C126" i="2" s="1"/>
  <c r="C41" i="2"/>
  <c r="C211" i="2" s="1"/>
  <c r="C40" i="2"/>
  <c r="C94" i="2" s="1"/>
  <c r="C38" i="2"/>
  <c r="C208" i="2" s="1"/>
  <c r="C37" i="2"/>
  <c r="C178" i="2" s="1"/>
  <c r="C36" i="2"/>
  <c r="C177" i="2" s="1"/>
  <c r="C34" i="2"/>
  <c r="C33" i="2"/>
  <c r="C31" i="2"/>
  <c r="C28" i="2"/>
  <c r="C175" i="2" s="1"/>
  <c r="C27" i="2"/>
  <c r="C87" i="2" s="1"/>
  <c r="C25" i="2"/>
  <c r="C114" i="2" s="1"/>
  <c r="C24" i="2"/>
  <c r="C142" i="2" s="1"/>
  <c r="C22" i="2"/>
  <c r="C82" i="2" s="1"/>
  <c r="C21" i="2"/>
  <c r="C139" i="2" s="1"/>
  <c r="C19" i="2"/>
  <c r="C18" i="2"/>
  <c r="C16" i="2"/>
  <c r="C137" i="2" s="1"/>
  <c r="C15" i="2"/>
  <c r="C107" i="2" s="1"/>
  <c r="C13" i="2"/>
  <c r="C12" i="2"/>
  <c r="A11" i="2"/>
  <c r="C10" i="2"/>
  <c r="P8" i="2"/>
  <c r="L8" i="2"/>
  <c r="J8" i="2"/>
  <c r="F8" i="2"/>
  <c r="C74" i="2" s="1"/>
  <c r="C8" i="2"/>
  <c r="G257" i="2" s="1"/>
  <c r="P7" i="2"/>
  <c r="L7" i="2"/>
  <c r="J7" i="2"/>
  <c r="I7" i="2"/>
  <c r="H7" i="2"/>
  <c r="G7" i="2"/>
  <c r="F7" i="2"/>
  <c r="C7" i="2"/>
  <c r="R6" i="2"/>
  <c r="D250" i="2" s="1"/>
  <c r="P6" i="2"/>
  <c r="L6" i="2"/>
  <c r="P5" i="2"/>
  <c r="C232" i="2" s="1"/>
  <c r="K232" i="2" s="1"/>
  <c r="L5" i="2"/>
  <c r="J5" i="2"/>
  <c r="I5" i="2"/>
  <c r="H5" i="2"/>
  <c r="R4" i="2"/>
  <c r="Q4" i="2"/>
  <c r="P4" i="2"/>
  <c r="O4" i="2"/>
  <c r="N4" i="2"/>
  <c r="M4" i="2"/>
  <c r="L4" i="2"/>
  <c r="K4" i="2"/>
  <c r="J4" i="2"/>
  <c r="I4" i="2"/>
  <c r="H4" i="2"/>
  <c r="G4" i="2"/>
  <c r="A2" i="2"/>
  <c r="C123" i="2" l="1"/>
  <c r="C95" i="2"/>
  <c r="C100" i="2"/>
  <c r="C224" i="2" s="1"/>
  <c r="C200" i="2"/>
  <c r="C203" i="2"/>
  <c r="C206" i="2"/>
  <c r="C79" i="2"/>
  <c r="C91" i="2"/>
  <c r="C119" i="2"/>
  <c r="C146" i="2"/>
  <c r="C158" i="2"/>
  <c r="C168" i="2"/>
  <c r="C194" i="2"/>
  <c r="C239" i="2"/>
  <c r="C116" i="2"/>
  <c r="C136" i="2"/>
  <c r="C143" i="2"/>
  <c r="C155" i="2"/>
  <c r="C171" i="2"/>
  <c r="C216" i="2"/>
  <c r="C81" i="2"/>
  <c r="C92" i="2"/>
  <c r="C108" i="2"/>
  <c r="C120" i="2"/>
  <c r="C148" i="2"/>
  <c r="C169" i="2"/>
  <c r="C181" i="2"/>
  <c r="C187" i="2"/>
  <c r="G239" i="2"/>
  <c r="C197" i="2"/>
  <c r="C78" i="2"/>
  <c r="C85" i="2"/>
  <c r="C97" i="2"/>
  <c r="C113" i="2"/>
  <c r="C124" i="2"/>
  <c r="C140" i="2"/>
  <c r="C152" i="2"/>
  <c r="C174" i="2"/>
  <c r="C195" i="2"/>
  <c r="C198" i="2"/>
  <c r="C201" i="2"/>
  <c r="C204" i="2"/>
  <c r="C207" i="2"/>
  <c r="C210" i="2"/>
  <c r="C213" i="2"/>
  <c r="C260" i="2"/>
  <c r="C90" i="2"/>
  <c r="C117" i="2"/>
  <c r="C145" i="2"/>
  <c r="C165" i="2"/>
  <c r="C172" i="2"/>
  <c r="C184" i="2"/>
  <c r="C110" i="2"/>
  <c r="C121" i="2"/>
  <c r="C149" i="2"/>
  <c r="C182" i="2"/>
  <c r="C153" i="2"/>
  <c r="H238" i="2"/>
  <c r="H237" i="2" s="1"/>
  <c r="H236" i="2" s="1"/>
  <c r="H235" i="2" s="1"/>
  <c r="H234" i="2" s="1"/>
  <c r="D7" i="2" l="1"/>
  <c r="E6" i="2" a="1"/>
  <c r="C4" i="2" a="1"/>
  <c r="C5" i="2" a="1"/>
  <c r="C3" i="2" a="1"/>
  <c r="C2" i="2" a="1"/>
  <c r="C6" i="2" a="1"/>
  <c r="J6" i="2"/>
  <c r="C6" i="2" l="1"/>
  <c r="D9" i="2" s="1"/>
  <c r="C2" i="2"/>
  <c r="C3" i="2"/>
  <c r="C5" i="2"/>
  <c r="C4" i="2"/>
  <c r="E6" i="2"/>
  <c r="K6" i="2" a="1"/>
  <c r="B28" i="2"/>
  <c r="B31" i="2" a="1"/>
  <c r="B19" i="2"/>
  <c r="B22" i="2"/>
  <c r="E7" i="2" a="1"/>
  <c r="S8" i="2" a="1"/>
  <c r="B34" i="2"/>
  <c r="B16" i="2"/>
  <c r="B25" i="2"/>
  <c r="S8" i="2" l="1"/>
  <c r="E7" i="2"/>
  <c r="B31" i="2"/>
  <c r="K6" i="2"/>
  <c r="S7" i="2" s="1"/>
  <c r="G6" i="2" a="1"/>
  <c r="G6" i="2" s="1"/>
  <c r="D5" i="2" a="1"/>
  <c r="D5" i="2" s="1"/>
  <c r="F3" i="2" s="1" a="1"/>
  <c r="F3" i="2" s="1"/>
  <c r="D3" i="2"/>
  <c r="G3" i="2" a="1"/>
  <c r="G3" i="2" s="1"/>
  <c r="H6" i="2" s="1" a="1"/>
  <c r="H6" i="2" s="1"/>
  <c r="C30" i="2" a="1"/>
  <c r="B42" i="2"/>
  <c r="B50" i="2"/>
  <c r="B56" i="2"/>
  <c r="B61" i="2"/>
  <c r="B63" i="2"/>
  <c r="C30" i="2" l="1"/>
  <c r="D78" i="2"/>
  <c r="E78" i="2" a="1"/>
  <c r="E78" i="2" s="1"/>
  <c r="E79" i="2" a="1"/>
  <c r="E79" i="2" s="1"/>
  <c r="D81" i="2" a="1"/>
  <c r="D81" i="2" s="1"/>
  <c r="D82" i="2" a="1"/>
  <c r="D82" i="2" s="1"/>
  <c r="D84" i="2" a="1"/>
  <c r="D84" i="2" s="1"/>
  <c r="D85" i="2" a="1"/>
  <c r="D85" i="2" s="1"/>
  <c r="D87" i="2" a="1"/>
  <c r="D87" i="2" s="1"/>
  <c r="D88" i="2" a="1"/>
  <c r="D88" i="2" s="1"/>
  <c r="D90" i="2" a="1"/>
  <c r="D90" i="2" s="1"/>
  <c r="D91" i="2" a="1"/>
  <c r="D91" i="2" s="1"/>
  <c r="E92" i="2" a="1"/>
  <c r="E92" i="2" s="1"/>
  <c r="D94" i="2" a="1"/>
  <c r="D94" i="2" s="1"/>
  <c r="D95" i="2" a="1"/>
  <c r="D95" i="2" s="1"/>
  <c r="D97" i="2" a="1"/>
  <c r="D97" i="2" s="1"/>
  <c r="D98" i="2" a="1"/>
  <c r="D98" i="2" s="1"/>
  <c r="D100" i="2" a="1"/>
  <c r="D100" i="2" s="1"/>
  <c r="D101" i="2" a="1"/>
  <c r="D101" i="2" s="1"/>
  <c r="B269" i="2"/>
  <c r="D233" i="2" l="1" a="1"/>
  <c r="D233" i="2" s="1"/>
  <c r="D278" i="2" a="1"/>
  <c r="D278" i="2" s="1"/>
  <c r="D268" i="2" a="1"/>
  <c r="B275" i="2"/>
  <c r="D268" i="2" l="1"/>
  <c r="D272" i="2" s="1"/>
  <c r="D2" i="2" l="1" a="1"/>
  <c r="D2" i="2"/>
  <c r="E3" i="2"/>
  <c r="E4" i="2"/>
  <c r="F4" i="2"/>
  <c r="N5" i="2"/>
  <c r="R5" i="2" a="1"/>
  <c r="R5" i="2"/>
  <c r="D6" i="2"/>
  <c r="F6" i="2"/>
  <c r="N6" i="2"/>
  <c r="O6" i="2"/>
  <c r="S6" i="2" a="1"/>
  <c r="S6" i="2"/>
  <c r="N7" i="2"/>
  <c r="O7" i="2"/>
  <c r="R7" i="2"/>
  <c r="D8" i="2"/>
  <c r="E8" i="2" a="1"/>
  <c r="E8" i="2"/>
  <c r="N8" i="2"/>
  <c r="R8" i="2"/>
  <c r="E9" i="2" a="1"/>
  <c r="E9" i="2"/>
  <c r="D10" i="2" a="1"/>
  <c r="D10" i="2"/>
  <c r="D11" i="2" a="1"/>
  <c r="D11" i="2"/>
  <c r="D12" i="2" a="1"/>
  <c r="D12" i="2"/>
  <c r="D13" i="2" a="1"/>
  <c r="D13" i="2"/>
  <c r="D15" i="2" a="1"/>
  <c r="D15" i="2"/>
  <c r="E16" i="2" a="1"/>
  <c r="E16" i="2"/>
  <c r="D18" i="2" a="1"/>
  <c r="D18" i="2"/>
  <c r="D19" i="2" a="1"/>
  <c r="D19" i="2"/>
  <c r="D21" i="2" a="1"/>
  <c r="D21" i="2"/>
  <c r="D22" i="2" a="1"/>
  <c r="D22" i="2"/>
  <c r="D24" i="2" a="1"/>
  <c r="D24" i="2"/>
  <c r="D25" i="2" a="1"/>
  <c r="D25" i="2"/>
  <c r="D27" i="2" a="1"/>
  <c r="D27" i="2"/>
  <c r="D28" i="2" a="1"/>
  <c r="D28" i="2"/>
  <c r="D30" i="2" a="1"/>
  <c r="D30" i="2"/>
  <c r="D31" i="2" a="1"/>
  <c r="D31" i="2"/>
  <c r="D33" i="2" a="1"/>
  <c r="D33" i="2"/>
  <c r="D34" i="2" a="1"/>
  <c r="D34" i="2"/>
  <c r="D36" i="2" a="1"/>
  <c r="D36" i="2"/>
  <c r="D37" i="2" a="1"/>
  <c r="D37" i="2"/>
  <c r="E38" i="2" a="1"/>
  <c r="E38" i="2"/>
  <c r="D40" i="2" a="1"/>
  <c r="D40" i="2"/>
  <c r="D41" i="2" a="1"/>
  <c r="D41" i="2"/>
  <c r="D43" i="2" a="1"/>
  <c r="D43" i="2"/>
  <c r="D44" i="2" a="1"/>
  <c r="D44" i="2"/>
  <c r="D46" i="2" a="1"/>
  <c r="D46" i="2"/>
  <c r="D47" i="2" a="1"/>
  <c r="D47" i="2"/>
  <c r="D49" i="2" a="1"/>
  <c r="D49" i="2"/>
  <c r="D51" i="2" a="1"/>
  <c r="D51" i="2"/>
  <c r="D53" i="2" a="1"/>
  <c r="D53" i="2"/>
  <c r="D55" i="2" a="1"/>
  <c r="D55" i="2"/>
  <c r="D56" i="2" a="1"/>
  <c r="D56" i="2"/>
  <c r="D58" i="2" a="1"/>
  <c r="D58" i="2"/>
  <c r="D60" i="2" a="1"/>
  <c r="D60" i="2"/>
  <c r="D62" i="2" a="1"/>
  <c r="D62" i="2"/>
  <c r="D64" i="2" a="1"/>
  <c r="D64" i="2"/>
  <c r="D66" i="2" a="1"/>
  <c r="D66" i="2"/>
  <c r="D68" i="2" a="1"/>
  <c r="D68" i="2"/>
  <c r="D70" i="2" a="1"/>
  <c r="D70" i="2"/>
  <c r="D72" i="2" a="1"/>
  <c r="D72" i="2"/>
  <c r="D75" i="2" a="1"/>
  <c r="D75" i="2"/>
  <c r="D76" i="2" a="1"/>
  <c r="D76" i="2"/>
  <c r="D104" i="2" a="1"/>
  <c r="D104" i="2"/>
  <c r="D105" i="2" a="1"/>
  <c r="D105" i="2"/>
  <c r="D107" i="2"/>
  <c r="E107" i="2" a="1"/>
  <c r="E107" i="2"/>
  <c r="E108" i="2" a="1"/>
  <c r="E108" i="2"/>
  <c r="D110" i="2" a="1"/>
  <c r="D110" i="2"/>
  <c r="D111" i="2" a="1"/>
  <c r="D111" i="2"/>
  <c r="D113" i="2" a="1"/>
  <c r="D113" i="2"/>
  <c r="D114" i="2" a="1"/>
  <c r="D114" i="2"/>
  <c r="D116" i="2" a="1"/>
  <c r="D116" i="2"/>
  <c r="D117" i="2" a="1"/>
  <c r="D117" i="2"/>
  <c r="D119" i="2" a="1"/>
  <c r="D119" i="2"/>
  <c r="D120" i="2" a="1"/>
  <c r="D120" i="2"/>
  <c r="E121" i="2" a="1"/>
  <c r="E121" i="2"/>
  <c r="D123" i="2" a="1"/>
  <c r="D123" i="2"/>
  <c r="D124" i="2" a="1"/>
  <c r="D124" i="2"/>
  <c r="D126" i="2" a="1"/>
  <c r="D126" i="2"/>
  <c r="D127" i="2" a="1"/>
  <c r="D127" i="2"/>
  <c r="D129" i="2" a="1"/>
  <c r="D129" i="2"/>
  <c r="D130" i="2" a="1"/>
  <c r="D130" i="2"/>
  <c r="D133" i="2" a="1"/>
  <c r="D133" i="2"/>
  <c r="D134" i="2" a="1"/>
  <c r="D134" i="2"/>
  <c r="D136" i="2"/>
  <c r="E136" i="2" a="1"/>
  <c r="E136" i="2"/>
  <c r="E137" i="2" a="1"/>
  <c r="E137" i="2"/>
  <c r="D139" i="2" a="1"/>
  <c r="D139" i="2"/>
  <c r="D140" i="2" a="1"/>
  <c r="D140" i="2"/>
  <c r="D142" i="2" a="1"/>
  <c r="D142" i="2"/>
  <c r="D143" i="2" a="1"/>
  <c r="D143" i="2"/>
  <c r="D145" i="2" a="1"/>
  <c r="D145" i="2"/>
  <c r="D146" i="2" a="1"/>
  <c r="D146" i="2"/>
  <c r="D148" i="2" a="1"/>
  <c r="D148" i="2"/>
  <c r="D149" i="2" a="1"/>
  <c r="D149" i="2"/>
  <c r="E150" i="2" a="1"/>
  <c r="E150" i="2"/>
  <c r="D152" i="2" a="1"/>
  <c r="D152" i="2"/>
  <c r="D153" i="2" a="1"/>
  <c r="D153" i="2"/>
  <c r="D155" i="2" a="1"/>
  <c r="D155" i="2"/>
  <c r="D156" i="2" a="1"/>
  <c r="D156" i="2"/>
  <c r="D158" i="2" a="1"/>
  <c r="D158" i="2"/>
  <c r="D159" i="2" a="1"/>
  <c r="D159" i="2"/>
  <c r="D162" i="2" a="1"/>
  <c r="D162" i="2"/>
  <c r="D163" i="2" a="1"/>
  <c r="D163" i="2"/>
  <c r="D165" i="2"/>
  <c r="E165" i="2" a="1"/>
  <c r="E165" i="2"/>
  <c r="E166" i="2" a="1"/>
  <c r="E166" i="2"/>
  <c r="C167" i="2" a="1"/>
  <c r="C167" i="2"/>
  <c r="D167" i="2" a="1"/>
  <c r="D167" i="2"/>
  <c r="D168" i="2" a="1"/>
  <c r="D168" i="2"/>
  <c r="D169" i="2" a="1"/>
  <c r="D169" i="2"/>
  <c r="C170" i="2" a="1"/>
  <c r="C170" i="2"/>
  <c r="D170" i="2" a="1"/>
  <c r="D170" i="2"/>
  <c r="D171" i="2" a="1"/>
  <c r="D171" i="2"/>
  <c r="D172" i="2" a="1"/>
  <c r="D172" i="2"/>
  <c r="C173" i="2" a="1"/>
  <c r="C173" i="2"/>
  <c r="D173" i="2" a="1"/>
  <c r="D173" i="2"/>
  <c r="D174" i="2" a="1"/>
  <c r="D174" i="2"/>
  <c r="D175" i="2" a="1"/>
  <c r="D175" i="2"/>
  <c r="C176" i="2" a="1"/>
  <c r="C176" i="2"/>
  <c r="D176" i="2" a="1"/>
  <c r="D176" i="2"/>
  <c r="D177" i="2" a="1"/>
  <c r="D177" i="2"/>
  <c r="D178" i="2" a="1"/>
  <c r="D178" i="2"/>
  <c r="E179" i="2" a="1"/>
  <c r="E179" i="2"/>
  <c r="C180" i="2" a="1"/>
  <c r="C180" i="2"/>
  <c r="D180" i="2" a="1"/>
  <c r="D180" i="2"/>
  <c r="D181" i="2" a="1"/>
  <c r="D181" i="2"/>
  <c r="D182" i="2" a="1"/>
  <c r="D182" i="2"/>
  <c r="C183" i="2" a="1"/>
  <c r="C183" i="2"/>
  <c r="D183" i="2" a="1"/>
  <c r="D183" i="2"/>
  <c r="D184" i="2" a="1"/>
  <c r="D184" i="2"/>
  <c r="D185" i="2" a="1"/>
  <c r="D185" i="2"/>
  <c r="D187" i="2" a="1"/>
  <c r="D187" i="2"/>
  <c r="D188" i="2" a="1"/>
  <c r="D188" i="2"/>
  <c r="D191" i="2" a="1"/>
  <c r="D191" i="2"/>
  <c r="D192" i="2" a="1"/>
  <c r="D192" i="2"/>
  <c r="D194" i="2"/>
  <c r="E194" i="2" a="1"/>
  <c r="E194" i="2"/>
  <c r="E195" i="2" a="1"/>
  <c r="E195" i="2"/>
  <c r="D196" i="2" a="1"/>
  <c r="D196" i="2"/>
  <c r="D197" i="2" a="1"/>
  <c r="D197" i="2"/>
  <c r="D198" i="2" a="1"/>
  <c r="D198" i="2"/>
  <c r="D199" i="2" a="1"/>
  <c r="D199" i="2"/>
  <c r="D200" i="2" a="1"/>
  <c r="D200" i="2"/>
  <c r="D201" i="2" a="1"/>
  <c r="D201" i="2"/>
  <c r="D202" i="2" a="1"/>
  <c r="D202" i="2"/>
  <c r="D203" i="2" a="1"/>
  <c r="D203" i="2"/>
  <c r="D204" i="2" a="1"/>
  <c r="D204" i="2"/>
  <c r="D205" i="2" a="1"/>
  <c r="D205" i="2"/>
  <c r="D206" i="2" a="1"/>
  <c r="D206" i="2"/>
  <c r="D207" i="2" a="1"/>
  <c r="D207" i="2"/>
  <c r="E208" i="2" a="1"/>
  <c r="E208" i="2"/>
  <c r="D209" i="2" a="1"/>
  <c r="D209" i="2"/>
  <c r="D210" i="2" a="1"/>
  <c r="D210" i="2"/>
  <c r="D211" i="2" a="1"/>
  <c r="D211" i="2"/>
  <c r="D212" i="2" a="1"/>
  <c r="D212" i="2"/>
  <c r="D213" i="2" a="1"/>
  <c r="D213" i="2"/>
  <c r="D214" i="2" a="1"/>
  <c r="D214" i="2"/>
  <c r="D216" i="2" a="1"/>
  <c r="D216" i="2"/>
  <c r="D217" i="2" a="1"/>
  <c r="D217" i="2"/>
  <c r="D220" i="2" a="1"/>
  <c r="D220" i="2"/>
  <c r="D221" i="2" a="1"/>
  <c r="D221" i="2"/>
  <c r="D222" i="2" a="1"/>
  <c r="D222" i="2"/>
  <c r="D224" i="2" a="1"/>
  <c r="D224" i="2"/>
  <c r="D225" i="2" a="1"/>
  <c r="D225" i="2"/>
  <c r="D227" i="2" a="1"/>
  <c r="D227" i="2"/>
  <c r="D232" i="2"/>
  <c r="C233" i="2"/>
  <c r="H233" i="2"/>
  <c r="D234" i="2"/>
  <c r="D235" i="2"/>
  <c r="D236" i="2" a="1"/>
  <c r="D236" i="2"/>
  <c r="D238" i="2"/>
  <c r="D239" i="2" a="1"/>
  <c r="D239" i="2"/>
  <c r="D240" i="2"/>
  <c r="D242" i="2" a="1"/>
  <c r="D242" i="2"/>
  <c r="D243" i="2"/>
  <c r="D244" i="2"/>
  <c r="D245" i="2"/>
  <c r="C251" i="2"/>
  <c r="D251" i="2" a="1"/>
  <c r="D251" i="2"/>
  <c r="H251" i="2"/>
  <c r="D252" i="2"/>
  <c r="D253" i="2"/>
  <c r="D254" i="2" a="1"/>
  <c r="D254" i="2"/>
  <c r="D256" i="2"/>
  <c r="D257" i="2" a="1"/>
  <c r="D257" i="2"/>
  <c r="D258" i="2"/>
  <c r="D260" i="2" a="1"/>
  <c r="D260" i="2"/>
  <c r="D261" i="2"/>
  <c r="D262" i="2"/>
  <c r="D263" i="2"/>
  <c r="D274" i="2" a="1"/>
  <c r="D274" i="2"/>
  <c r="D275" i="2"/>
  <c r="D276" i="2"/>
  <c r="D277" i="2"/>
  <c r="D279" i="2"/>
  <c r="D281" i="2"/>
  <c r="D282" i="2"/>
  <c r="D283" i="2"/>
  <c r="D285" i="2"/>
  <c r="D286" i="2"/>
  <c r="D287" i="2"/>
  <c r="D28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<sst xmlns="http://schemas.openxmlformats.org/spreadsheetml/2006/main" count="1" uniqueCount="1">
  <si>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Last (Delayed)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</si>
</sst>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164" formatCode="_(#,##0_);_(\(#,##0\);_(&quot; - &quot;_);_(@_)"/>
    <numFmt numFmtId="165" formatCode="m/d/yyyy_)"/>
    <numFmt numFmtId="166" formatCode="0\A_)"/>
    <numFmt numFmtId="167" formatCode="0\E_)"/>
    <numFmt numFmtId="168" formatCode="_(#,##0.0%_);_(\(#,##0.0%\)"/>
    <numFmt numFmtId="169" formatCode="_(#,##0.0\x_);_(\(#,##0.0\x\);_(&quot; - &quot;_);_(@_)"/>
    <numFmt numFmtId="170" formatCode="_(#,##0.0%_);[Red]_(\(#,##0.0%\)"/>
    <numFmt numFmtId="171" formatCode="_(#,##0.0_);_(\(#,##0.0\);_(&quot; - &quot;_);_(@_)"/>
    <numFmt numFmtId="172" formatCode="_(_(#,##0.0%_);_(\(#,##0.0%\)"/>
    <numFmt numFmtId="173" formatCode="_(#,##0.00_);_(\(#,##0.00\);_(&quot; - &quot;_);_(@_)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i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6" fillId="0" borderId="0" applyNumberFormat="0" applyFill="0" applyBorder="0" applyAlignment="0" applyProtection="0"/>
  </cellStyleXfs>
  <cellXfs count="88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8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5" fontId="4" fillId="0" borderId="0" xfId="0" applyNumberFormat="1" applyFont="1"/>
    <xf numFmtId="168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8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8" fontId="3" fillId="0" borderId="0" xfId="0" applyNumberFormat="1" applyFont="1"/>
    <xf numFmtId="164" fontId="11" fillId="0" borderId="0" xfId="0" applyNumberFormat="1" applyFont="1"/>
    <xf numFmtId="164" fontId="12" fillId="0" borderId="0" xfId="0" applyNumberFormat="1" applyFont="1"/>
    <xf numFmtId="164" fontId="11" fillId="0" borderId="0" xfId="0" applyNumberFormat="1" applyFont="1" applyAlignment="1">
      <alignment horizontal="right"/>
    </xf>
    <xf numFmtId="164" fontId="11" fillId="5" borderId="1" xfId="0" applyNumberFormat="1" applyFont="1" applyFill="1" applyBorder="1" applyAlignment="1">
      <alignment horizontal="center"/>
    </xf>
    <xf numFmtId="164" fontId="14" fillId="0" borderId="0" xfId="0" applyNumberFormat="1" applyFont="1"/>
    <xf numFmtId="168" fontId="3" fillId="0" borderId="0" xfId="0" applyNumberFormat="1" applyFont="1" applyAlignment="1">
      <alignment horizontal="right"/>
    </xf>
    <xf numFmtId="170" fontId="0" fillId="0" borderId="0" xfId="0" applyNumberFormat="1"/>
    <xf numFmtId="164" fontId="3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/>
    </xf>
    <xf numFmtId="164" fontId="11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71" fontId="0" fillId="0" borderId="0" xfId="0" applyNumberFormat="1"/>
    <xf numFmtId="171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8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66" fontId="9" fillId="6" borderId="1" xfId="0" applyNumberFormat="1" applyFont="1" applyFill="1" applyBorder="1" applyAlignment="1" applyProtection="1">
      <alignment horizontal="center"/>
      <protection locked="0"/>
    </xf>
    <xf numFmtId="167" fontId="9" fillId="6" borderId="1" xfId="0" applyNumberFormat="1" applyFont="1" applyFill="1" applyBorder="1" applyAlignment="1" applyProtection="1">
      <alignment horizontal="center"/>
      <protection locked="0"/>
    </xf>
    <xf numFmtId="172" fontId="9" fillId="6" borderId="0" xfId="0" applyNumberFormat="1" applyFont="1" applyFill="1" applyAlignment="1" applyProtection="1">
      <alignment horizontal="right"/>
      <protection locked="0"/>
    </xf>
    <xf numFmtId="8" fontId="19" fillId="0" borderId="0" xfId="0" applyNumberFormat="1" applyFont="1" applyAlignment="1" applyProtection="1">
      <alignment horizontal="left"/>
      <protection locked="0"/>
    </xf>
    <xf numFmtId="169" fontId="9" fillId="0" borderId="0" xfId="0" applyNumberFormat="1" applyFont="1" applyProtection="1">
      <protection locked="0"/>
    </xf>
    <xf numFmtId="168" fontId="9" fillId="0" borderId="0" xfId="0" applyNumberFormat="1" applyFont="1" applyProtection="1">
      <protection locked="0"/>
    </xf>
    <xf numFmtId="164" fontId="17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Protection="1">
      <protection locked="0"/>
    </xf>
    <xf numFmtId="168" fontId="0" fillId="0" borderId="0" xfId="0" applyNumberFormat="1" applyAlignment="1" applyProtection="1">
      <alignment horizontal="left" indent="1"/>
      <protection locked="0"/>
    </xf>
    <xf numFmtId="168" fontId="0" fillId="0" borderId="0" xfId="0" applyNumberFormat="1" applyAlignment="1" applyProtection="1">
      <alignment horizontal="right"/>
      <protection locked="0"/>
    </xf>
    <xf numFmtId="170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Protection="1">
      <protection locked="0"/>
    </xf>
    <xf numFmtId="164" fontId="11" fillId="0" borderId="0" xfId="0" applyNumberFormat="1" applyFont="1" applyProtection="1">
      <protection locked="0"/>
    </xf>
    <xf numFmtId="164" fontId="11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8" fontId="17" fillId="0" borderId="0" xfId="0" applyNumberFormat="1" applyFont="1" applyProtection="1">
      <protection locked="0"/>
    </xf>
    <xf numFmtId="168" fontId="0" fillId="0" borderId="4" xfId="0" applyNumberFormat="1" applyBorder="1" applyProtection="1">
      <protection locked="0"/>
    </xf>
    <xf numFmtId="165" fontId="11" fillId="0" borderId="0" xfId="0" applyNumberFormat="1" applyFont="1" applyProtection="1">
      <protection locked="0"/>
    </xf>
    <xf numFmtId="168" fontId="11" fillId="0" borderId="0" xfId="0" applyNumberFormat="1" applyFont="1" applyProtection="1">
      <protection locked="0"/>
    </xf>
    <xf numFmtId="8" fontId="11" fillId="0" borderId="0" xfId="0" applyNumberFormat="1" applyFont="1" applyProtection="1">
      <protection locked="0"/>
    </xf>
    <xf numFmtId="172" fontId="11" fillId="0" borderId="0" xfId="0" applyNumberFormat="1" applyFont="1" applyAlignment="1" applyProtection="1">
      <alignment horizontal="left"/>
      <protection locked="0"/>
    </xf>
    <xf numFmtId="164" fontId="12" fillId="0" borderId="0" xfId="0" applyNumberFormat="1" applyFont="1" applyProtection="1">
      <protection locked="0"/>
    </xf>
    <xf numFmtId="164" fontId="13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5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71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5" fontId="10" fillId="0" borderId="0" xfId="0" applyNumberFormat="1" applyFont="1" applyProtection="1">
      <protection locked="0"/>
    </xf>
    <xf numFmtId="171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5" fillId="2" borderId="0" xfId="0" applyNumberFormat="1" applyFont="1" applyFill="1"/>
    <xf numFmtId="169" fontId="11" fillId="4" borderId="4" xfId="0" applyNumberFormat="1" applyFont="1" applyFill="1" applyBorder="1" applyProtection="1">
      <protection locked="0"/>
    </xf>
    <xf numFmtId="168" fontId="11" fillId="4" borderId="2" xfId="0" applyNumberFormat="1" applyFont="1" applyFill="1" applyBorder="1" applyProtection="1">
      <protection locked="0"/>
    </xf>
    <xf numFmtId="8" fontId="11" fillId="0" borderId="3" xfId="0" applyNumberFormat="1" applyFont="1" applyBorder="1"/>
    <xf numFmtId="8" fontId="11" fillId="0" borderId="4" xfId="0" applyNumberFormat="1" applyFont="1" applyBorder="1"/>
    <xf numFmtId="8" fontId="11" fillId="0" borderId="2" xfId="0" applyNumberFormat="1" applyFont="1" applyBorder="1"/>
    <xf numFmtId="8" fontId="11" fillId="0" borderId="0" xfId="0" applyNumberFormat="1" applyFont="1"/>
    <xf numFmtId="170" fontId="11" fillId="4" borderId="4" xfId="0" applyNumberFormat="1" applyFont="1" applyFill="1" applyBorder="1" applyProtection="1">
      <protection locked="0"/>
    </xf>
    <xf numFmtId="8" fontId="20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8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5" fontId="4" fillId="0" borderId="0" xfId="0" applyNumberFormat="1" applyFont="1" applyAlignment="1">
      <alignment wrapText="1"/>
    </xf>
    <xf numFmtId="171" fontId="0" fillId="0" borderId="0" xfId="0" applyNumberFormat="1" applyAlignment="1">
      <alignment wrapText="1"/>
    </xf>
    <xf numFmtId="173" fontId="0" fillId="0" borderId="0" xfId="0" applyNumberFormat="1"/>
  </cellXfs>
  <cellStyles count="3">
    <cellStyle name="Hyperlink" xfId="2" builtinId="8"/>
    <cellStyle name="Normal" xfId="0" builtinId="0"/>
    <cellStyle name="Normal 2" xfId="1" xr:uid="{0D5C57CA-0725-4450-9419-9A36FC26A15C}"/>
  </cellStyles>
  <dxfs count="0"/>
  <tableStyles count="0" defaultTableStyle="TableStyleMedium9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7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this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to Load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</a:t>
              </a:r>
              <a:r>
                <a:rPr lang="en-US" sz="10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after a few seconds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2">
    <v t="i">1</v>
    <v t="i">2</v>
    <v t="i">3</v>
    <v t="i">4</v>
    <v t="i">5</v>
    <v t="i">8</v>
    <v t="i">9</v>
    <v t="i">10</v>
    <v t="i">11</v>
    <v t="i">12</v>
    <v t="i">15</v>
    <v t="i">16</v>
    <v t="i">17</v>
    <v t="i">18</v>
    <v t="i">19</v>
    <v t="i">22</v>
    <v t="i">23</v>
    <v t="i">24</v>
    <v t="i">25</v>
    <v t="i">26</v>
    <v t="i">30</v>
    <v t="i">31</v>
    <v t="i">32</v>
    <v t="i">33</v>
    <v t="i">36</v>
    <v t="i">37</v>
    <v t="i">38</v>
    <v t="i">39</v>
    <v t="i">40</v>
    <v t="i">43</v>
    <v t="i">44</v>
    <v t="i">45</v>
    <v t="i">46</v>
    <v t="i">47</v>
    <v t="i">50</v>
    <v t="i">51</v>
    <v t="i">52</v>
    <v t="i">53</v>
    <v t="i">54</v>
    <v t="i">57</v>
    <v t="i">58</v>
    <v t="i">59</v>
    <v t="i">60</v>
    <v t="i">61</v>
    <v t="i">64</v>
    <v t="i">65</v>
    <v t="i">66</v>
    <v t="i">67</v>
    <v t="i">68</v>
    <v t="i">71</v>
    <v t="i">72</v>
    <v t="i">73</v>
    <v t="i">74</v>
    <v t="i">75</v>
    <v t="i">78</v>
    <v t="i">79</v>
    <v t="i">80</v>
    <v t="i">81</v>
    <v t="i">82</v>
    <v t="i">85</v>
    <v t="i">86</v>
    <v t="i">87</v>
    <v t="i">88</v>
    <v t="i">89</v>
    <v t="i">92</v>
    <v t="i">93</v>
    <v t="i">94</v>
    <v t="i">95</v>
    <v t="i">96</v>
    <v t="i">99</v>
    <v t="i">100</v>
    <v t="i">101</v>
    <v t="i">102</v>
    <v t="i">103</v>
    <v t="i">106</v>
    <v t="i">107</v>
    <v t="i">108</v>
    <v t="i">110</v>
    <v t="i">113</v>
    <v t="i">114</v>
    <v t="i">115</v>
    <v t="i">116</v>
    <v t="i">117</v>
    <v t="i">120</v>
    <v t="i">121</v>
    <v t="i">122</v>
    <v t="i">123</v>
    <v t="i">124</v>
    <v t="i">127</v>
    <v t="i">128</v>
    <v t="i">129</v>
    <v t="i">130</v>
    <v t="i">131</v>
    <v t="i">134</v>
    <v t="i">135</v>
    <v t="i">136</v>
    <v t="i">137</v>
    <v t="i">138</v>
    <v t="i">142</v>
    <v t="i">143</v>
    <v t="i">144</v>
    <v t="i">145</v>
    <v t="i">149</v>
    <v t="i">150</v>
    <v t="i">151</v>
    <v t="i">152</v>
    <v t="i">155</v>
    <v t="i">156</v>
    <v t="i">157</v>
    <v t="i">158</v>
    <v t="i">159</v>
    <v t="i">163</v>
    <v t="i">164</v>
    <v t="i">165</v>
    <v t="i">166</v>
    <v t="i">169</v>
    <v t="i">170</v>
    <v t="i">171</v>
    <v t="i">172</v>
    <v t="i">173</v>
    <v t="i">176</v>
    <v t="i">177</v>
    <v t="i">178</v>
    <v t="i">179</v>
    <v t="i">180</v>
    <v t="i">183</v>
    <v t="i">184</v>
    <v t="i">185</v>
    <v t="i">186</v>
    <v t="i">187</v>
    <v t="i">190</v>
    <v t="i">191</v>
    <v t="i">192</v>
    <v t="i">193</v>
    <v t="i">194</v>
    <v t="i">198</v>
    <v t="i">199</v>
    <v t="i">200</v>
    <v t="i">201</v>
    <v t="i">204</v>
    <v t="i">205</v>
    <v t="i">206</v>
    <v t="i">207</v>
    <v t="i">208</v>
    <v t="i">211</v>
    <v t="i">212</v>
    <v t="i">213</v>
    <v t="i">214</v>
    <v t="i">215</v>
    <v t="i">218</v>
    <v t="i">219</v>
    <v t="i">220</v>
    <v t="i">221</v>
    <v t="i">222</v>
    <v t="i">225</v>
    <v t="i">226</v>
    <v t="i">227</v>
    <v t="i">228</v>
    <v t="i">229</v>
    <v t="i">232</v>
    <v t="i">233</v>
    <v t="i">234</v>
    <v t="i">235</v>
    <v t="i">236</v>
    <v t="i">239</v>
    <v t="i">240</v>
    <v t="i">241</v>
    <v t="i">242</v>
    <v t="i">246</v>
    <v t="i">247</v>
    <v t="i">248</v>
    <v t="i">249</v>
    <v t="i">250</v>
    <v t="i">253</v>
    <v t="i">254</v>
    <v t="i">255</v>
    <v t="i">256</v>
    <v t="i">257</v>
    <v t="i">260</v>
    <v t="i">261</v>
    <v t="i">262</v>
    <v t="i">263</v>
    <v t="i">264</v>
    <v t="i">267</v>
    <v t="i">268</v>
    <v t="i">269</v>
    <v t="i">270</v>
    <v t="i">271</v>
    <v t="i">274</v>
    <v t="i">275</v>
    <v t="i">276</v>
    <v t="i">277</v>
    <v t="i">278</v>
    <v t="i">281</v>
    <v t="i">282</v>
    <v t="i">283</v>
    <v t="i">284</v>
    <v t="i">285</v>
    <v t="i">288</v>
    <v t="i">289</v>
    <v t="i">290</v>
    <v t="i">291</v>
    <v t="i">292</v>
    <v t="i">296</v>
    <v t="i">297</v>
    <v t="i">298</v>
    <v t="i">299</v>
    <v t="i">302</v>
    <v t="i">303</v>
    <v t="i">304</v>
    <v t="i">305</v>
    <v t="i">306</v>
    <v t="i">309</v>
    <v t="i">310</v>
    <v t="i">311</v>
    <v t="i">312</v>
    <v t="i">313</v>
    <v t="i">317</v>
    <v t="i">318</v>
    <v t="i">319</v>
    <v t="i">320</v>
    <v t="i">323</v>
    <v t="i">324</v>
    <v t="i">325</v>
    <v t="i">326</v>
    <v t="i">327</v>
    <v t="i">330</v>
    <v t="i">332</v>
    <v t="i">333</v>
    <v t="i">334</v>
    <v t="i">337</v>
    <v t="i">338</v>
    <v t="i">339</v>
    <v t="i">340</v>
    <v t="i">341</v>
    <v t="i">344</v>
    <v t="i">345</v>
    <v t="i">346</v>
    <v t="i">347</v>
    <v t="i">348</v>
    <v t="i">351</v>
    <v t="i">352</v>
    <v t="i">353</v>
    <v t="i">354</v>
    <v t="i">355</v>
    <v t="i">358</v>
    <v t="i">359</v>
    <v t="i">360</v>
    <v t="i">361</v>
    <v t="i">362</v>
    <v t="i">365</v>
    <v t="i">366</v>
    <v t="i">367</v>
    <v t="i">368</v>
    <v t="i">369</v>
    <v t="i">372</v>
    <v t="i">373</v>
    <v t="i">374</v>
    <v t="i">375</v>
    <v t="i">376</v>
    <v t="i">379</v>
    <v t="i">380</v>
    <v t="i">381</v>
    <v t="i">382</v>
    <v t="i">383</v>
    <v t="i">386</v>
    <v t="i">387</v>
    <v t="i">388</v>
    <v t="i">389</v>
    <v t="i">390</v>
    <v t="i">394</v>
    <v t="i">395</v>
    <v t="i">396</v>
    <v t="i">397</v>
    <v t="i">400</v>
    <v t="i">401</v>
    <v t="i">402</v>
    <v t="i">403</v>
    <v t="i">404</v>
    <v t="i">407</v>
    <v t="i">408</v>
    <v t="i">409</v>
    <v t="i">410</v>
    <v t="i">411</v>
    <v t="i">414</v>
    <v t="i">415</v>
    <v t="i">416</v>
    <v t="i">417</v>
    <v t="i">418</v>
    <v t="i">421</v>
    <v t="i">422</v>
    <v t="i">423</v>
    <v t="i">424</v>
    <v t="i">425</v>
    <v t="i">428</v>
    <v t="i">429</v>
    <v t="i">430</v>
    <v t="i">431</v>
    <v t="i">432</v>
    <v t="i">435</v>
    <v t="i">436</v>
    <v t="i">437</v>
    <v t="i">438</v>
    <v t="i">439</v>
    <v t="i">442</v>
    <v t="i">443</v>
    <v t="i">444</v>
    <v t="i">445</v>
    <v t="i">446</v>
    <v t="i">449</v>
    <v t="i">450</v>
    <v t="i">451</v>
    <v t="i">452</v>
    <v t="i">453</v>
    <v t="i">456</v>
    <v t="i">457</v>
    <v t="i">458</v>
    <v t="i">459</v>
    <v t="i">460</v>
    <v t="i">463</v>
    <v t="i">464</v>
    <v t="i">465</v>
    <v t="i">466</v>
    <v t="i">467</v>
    <v t="i">470</v>
    <v t="i">471</v>
    <v t="i">472</v>
    <v t="i">474</v>
    <v t="i">477</v>
    <v t="i">478</v>
    <v t="i">479</v>
    <v t="i">480</v>
    <v t="i">481</v>
    <v t="i">484</v>
    <v t="i">485</v>
    <v t="i">486</v>
    <v t="i">487</v>
    <v t="i">488</v>
    <v t="i">491</v>
    <v t="i">492</v>
    <v t="i">493</v>
    <v t="i">494</v>
    <v t="i">495</v>
    <v t="i">498</v>
    <v t="i">499</v>
    <v t="i">500</v>
    <v t="i">501</v>
    <v t="i">502</v>
    <v t="i">506</v>
    <v t="i">507</v>
    <v t="i">508</v>
    <v t="i">509</v>
    <v t="i">513</v>
    <v t="i">514</v>
    <v t="i">515</v>
    <v t="i">516</v>
    <v t="i">519</v>
    <v t="i">520</v>
    <v t="i">521</v>
    <v t="i">522</v>
    <v t="i">523</v>
    <v t="i">527</v>
    <v t="i">528</v>
    <v t="i">529</v>
    <v t="i">530</v>
    <v t="i">533</v>
    <v t="i">534</v>
    <v t="i">535</v>
    <v t="i">536</v>
    <v t="i">537</v>
    <v t="i">540</v>
    <v t="i">541</v>
    <v t="i">542</v>
    <v t="i">543</v>
    <v t="i">544</v>
    <v t="i">547</v>
    <v t="i">548</v>
    <v t="i">549</v>
    <v t="i">550</v>
    <v t="i">551</v>
    <v t="i">554</v>
    <v t="i">555</v>
    <v t="i">556</v>
    <v t="i">557</v>
    <v t="i">558</v>
    <v t="i">562</v>
    <v t="i">563</v>
    <v t="i">564</v>
    <v t="i">565</v>
    <v t="i">568</v>
    <v t="i">569</v>
    <v t="i">570</v>
    <v t="i">571</v>
    <v t="i">572</v>
    <v t="i">575</v>
    <v t="i">576</v>
    <v t="i">577</v>
    <v t="i">578</v>
    <v t="i">579</v>
    <v t="i">582</v>
    <v t="i">583</v>
    <v t="i">584</v>
    <v t="i">585</v>
    <v t="i">586</v>
    <v t="i">589</v>
    <v t="i">590</v>
    <v t="i">591</v>
    <v t="i">592</v>
    <v t="i">593</v>
    <v t="i">596</v>
    <v t="i">597</v>
    <v t="i">598</v>
    <v t="i">599</v>
    <v t="i">603</v>
    <v t="i">604</v>
    <v t="i">605</v>
    <v t="i">606</v>
    <v t="i">607</v>
    <v t="i">610</v>
    <v t="i">611</v>
    <v t="i">612</v>
    <v t="i">613</v>
    <v t="i">614</v>
    <v t="i">617</v>
    <v t="i">618</v>
    <v t="i">619</v>
    <v t="i">620</v>
    <v t="i">621</v>
    <v t="i">624</v>
    <v t="i">625</v>
    <v t="i">626</v>
    <v t="i">627</v>
    <v t="i">628</v>
    <v t="i">631</v>
    <v t="i">632</v>
    <v t="i">633</v>
    <v t="i">634</v>
    <v t="i">635</v>
    <v t="i">638</v>
    <v t="i">639</v>
    <v t="i">640</v>
    <v t="i">641</v>
    <v t="i">642</v>
    <v t="i">645</v>
    <v t="i">646</v>
    <v t="i">647</v>
    <v t="i">648</v>
    <v t="i">649</v>
    <v t="i">652</v>
    <v t="i">653</v>
    <v t="i">654</v>
    <v t="i">655</v>
    <v t="i">656</v>
    <v t="i">660</v>
    <v t="i">661</v>
    <v t="i">662</v>
    <v t="i">663</v>
    <v t="i">666</v>
    <v t="i">667</v>
    <v t="i">668</v>
    <v t="i">669</v>
    <v t="i">670</v>
    <v t="i">673</v>
    <v t="i">674</v>
    <v t="i">675</v>
    <v t="i">676</v>
    <v t="i">677</v>
    <v t="i">680</v>
    <v t="i">681</v>
    <v t="i">683</v>
    <v t="i">684</v>
    <v t="i">687</v>
    <v t="i">688</v>
    <v t="i">689</v>
    <v t="i">690</v>
    <v t="i">691</v>
    <v t="i">694</v>
    <v t="i">695</v>
    <v t="i">696</v>
    <v t="i">698</v>
    <v t="i">701</v>
    <v t="i">702</v>
    <v t="i">703</v>
    <v t="i">704</v>
    <v t="i">705</v>
    <v t="i">708</v>
    <v t="i">709</v>
    <v t="i">710</v>
    <v t="i">711</v>
    <v t="i">712</v>
    <v t="i">715</v>
    <v t="i">716</v>
    <v t="i">717</v>
    <v t="i">718</v>
    <v t="i">719</v>
    <v t="i">722</v>
    <v t="i">723</v>
    <v t="i">724</v>
    <v t="i">725</v>
    <v t="i">726</v>
    <v t="i">729</v>
    <v t="i">730</v>
    <v t="i">731</v>
    <v t="i">732</v>
    <v t="i">733</v>
    <v t="i">736</v>
    <v t="i">737</v>
    <v t="i">738</v>
    <v t="i">739</v>
    <v t="i">740</v>
    <v t="i">743</v>
    <v t="i">744</v>
    <v t="i">745</v>
    <v t="i">746</v>
    <v t="i">747</v>
    <v t="i">750</v>
    <v t="i">751</v>
    <v t="i">752</v>
    <v t="i">753</v>
    <v t="i">754</v>
    <v t="i">758</v>
    <v t="i">759</v>
    <v t="i">760</v>
    <v t="i">761</v>
    <v t="i">764</v>
    <v t="i">765</v>
    <v t="i">766</v>
    <v t="i">767</v>
    <v t="i">768</v>
    <v t="i">771</v>
    <v t="i">772</v>
    <v t="i">773</v>
    <v t="i">774</v>
    <v t="i">775</v>
    <v t="i">778</v>
    <v t="i">779</v>
    <v t="i">780</v>
    <v t="i">781</v>
    <v t="i">782</v>
    <v t="i">785</v>
    <v t="i">786</v>
    <v t="i">787</v>
    <v t="i">788</v>
    <v t="i">789</v>
    <v t="i">792</v>
    <v t="i">793</v>
    <v t="i">794</v>
    <v t="i">795</v>
    <v t="i">796</v>
    <v t="i">799</v>
    <v t="i">800</v>
    <v t="i">801</v>
    <v t="i">802</v>
    <v t="i">803</v>
    <v t="i">806</v>
    <v t="i">807</v>
    <v t="i">808</v>
    <v t="i">809</v>
    <v t="i">810</v>
    <v t="i">813</v>
    <v t="i">814</v>
    <v t="i">815</v>
    <v t="i">816</v>
    <v t="i">817</v>
    <v t="i">820</v>
    <v t="i">821</v>
    <v t="i">822</v>
    <v t="i">823</v>
    <v t="i">824</v>
    <v t="i">827</v>
    <v t="i">828</v>
    <v t="i">829</v>
    <v t="i">830</v>
    <v t="i">831</v>
    <v t="i">834</v>
    <v t="i">835</v>
    <v t="i">836</v>
    <v t="i">837</v>
    <v t="i">838</v>
    <v t="i">841</v>
    <v t="i">842</v>
    <v t="i">843</v>
    <v t="i">845</v>
    <v t="i">848</v>
    <v t="i">849</v>
    <v t="i">850</v>
    <v t="i">851</v>
    <v t="i">852</v>
    <v t="i">855</v>
    <v t="i">856</v>
    <v t="i">857</v>
    <v t="i">858</v>
    <v t="i">859</v>
    <v t="i">862</v>
    <v t="i">863</v>
    <v t="i">864</v>
    <v t="i">865</v>
    <v t="i">866</v>
    <v t="i">869</v>
    <v t="i">870</v>
    <v t="i">872</v>
    <v t="i">873</v>
    <v t="i">876</v>
    <v t="i">877</v>
    <v t="i">879</v>
    <v t="i">880</v>
    <v t="i">883</v>
    <v t="i">884</v>
    <v t="i">885</v>
    <v t="i">887</v>
    <v t="i">890</v>
    <v t="i">891</v>
    <v t="i">892</v>
    <v t="i">893</v>
    <v t="i">894</v>
    <v t="i">898</v>
    <v t="i">899</v>
    <v t="i">900</v>
    <v t="i">901</v>
    <v t="i">904</v>
    <v t="i">905</v>
    <v t="i">906</v>
    <v t="i">907</v>
    <v t="i">908</v>
    <v t="i">911</v>
    <v t="i">912</v>
    <v t="i">913</v>
    <v t="i">914</v>
    <v t="i">915</v>
    <v t="i">918</v>
    <v t="i">919</v>
    <v t="i">920</v>
    <v t="i">921</v>
    <v t="i">922</v>
    <v t="i">926</v>
    <v t="i">927</v>
    <v t="i">928</v>
    <v t="i">929</v>
    <v t="i">932</v>
    <v t="i">933</v>
    <v t="i">934</v>
    <v t="i">935</v>
    <v t="i">936</v>
    <v t="i">939</v>
    <v t="i">940</v>
    <v t="i">941</v>
    <v t="i">942</v>
    <v t="i">943</v>
    <v t="i">946</v>
    <v t="i">947</v>
    <v t="i">948</v>
    <v t="i">949</v>
    <v t="i">950</v>
    <v t="i">953</v>
    <v t="i">954</v>
    <v t="i">955</v>
    <v t="i">956</v>
    <v t="i">957</v>
    <v t="i">960</v>
    <v t="i">961</v>
    <v t="i">962</v>
    <v t="i">963</v>
    <v t="i">964</v>
    <v t="i">967</v>
    <v t="i">968</v>
    <v t="i">969</v>
    <v t="i">970</v>
    <v t="i">971</v>
    <v t="i">974</v>
    <v t="i">975</v>
    <v t="i">976</v>
    <v t="i">977</v>
    <v t="i">978</v>
    <v t="i">981</v>
    <v t="i">982</v>
    <v t="i">983</v>
    <v t="i">984</v>
    <v t="i">988</v>
    <v t="i">989</v>
    <v t="i">990</v>
    <v t="i">991</v>
    <v t="i">992</v>
    <v t="i">995</v>
    <v t="i">996</v>
    <v t="i">997</v>
    <v t="i">998</v>
    <v t="i">999</v>
    <v t="i">1002</v>
    <v t="i">1003</v>
    <v t="i">1004</v>
    <v t="i">1005</v>
    <v t="i">1006</v>
    <v t="i">1009</v>
    <v t="i">1010</v>
    <v t="i">1011</v>
    <v t="i">1012</v>
    <v t="i">1013</v>
    <v t="i">1016</v>
    <v t="i">1017</v>
    <v t="i">1018</v>
    <v t="i">1019</v>
    <v t="i">1020</v>
    <v t="i">1024</v>
    <v t="i">1025</v>
    <v t="i">1026</v>
    <v t="i">1027</v>
    <v t="i">1030</v>
    <v t="i">1031</v>
    <v t="i">1032</v>
    <v t="i">1033</v>
    <v t="i">1034</v>
    <v t="i">1037</v>
    <v t="i">1038</v>
    <v t="i">1039</v>
    <v t="i">1040</v>
    <v t="i">1041</v>
    <v t="i">1044</v>
    <v t="i">1045</v>
    <v t="i">1046</v>
    <v t="i">1048</v>
    <v t="i">1051</v>
    <v t="i">1052</v>
    <v t="i">1053</v>
    <v t="i">1054</v>
    <v t="i">1055</v>
    <v t="i">1058</v>
    <v t="i">1059</v>
    <v t="i">1060</v>
    <v t="i">1061</v>
    <v t="i">1065</v>
    <v t="i">1066</v>
    <v t="i">1067</v>
    <v t="i">1068</v>
    <v t="i">1069</v>
    <v t="i">1072</v>
    <v t="i">1073</v>
    <v t="i">1074</v>
    <v t="i">1075</v>
    <v t="i">1076</v>
    <v t="i">1079</v>
    <v t="i">1080</v>
    <v t="i">1081</v>
    <v t="i">1082</v>
    <v t="i">1083</v>
    <v t="i">1086</v>
    <v t="i">1087</v>
    <v t="i">1088</v>
    <v t="i">1089</v>
    <v t="i">1090</v>
    <v t="i">1093</v>
    <v t="i">1094</v>
    <v t="i">1095</v>
  </a>
  <a r="1" c="752">
    <v>412.99</v>
    <v>411.35</v>
    <v>419.99</v>
    <v>419.99</v>
    <v>427.1</v>
    <v>428.86</v>
    <v>429.7</v>
    <v>426.65</v>
    <v>427.89</v>
    <v>422.14</v>
    <v>413.35</v>
    <v>412.35</v>
    <v>413.67</v>
    <v>419.51</v>
    <v>405.31</v>
    <v>402.63</v>
    <v>398.21</v>
    <v>395.18</v>
    <v>396.42</v>
    <v>392.24</v>
    <v>390.76</v>
    <v>397.78</v>
    <v>400.38</v>
    <v>406.6</v>
    <v>410.97</v>
    <v>393.1</v>
    <v>394.6</v>
    <v>390.12</v>
    <v>385.56</v>
    <v>388.55</v>
    <v>384.09</v>
    <v>377.39</v>
    <v>374.22</v>
    <v>367.95</v>
    <v>364.31</v>
    <v>363.38</v>
    <v>370.53</v>
    <v>362.79</v>
    <v>357.18</v>
    <v>366.61</v>
    <v>377.97</v>
    <v>377.09</v>
    <v>373.2</v>
    <v>362.79</v>
    <v>360.02</v>
    <v>357.74</v>
    <v>356.56</v>
    <v>365.97</v>
    <v>357.63</v>
    <v>366.82</v>
    <v>371.13</v>
    <v>368.5</v>
    <v>365.41</v>
    <v>374.29</v>
    <v>378.87</v>
    <v>384.92</v>
    <v>382.02</v>
    <v>379.98</v>
    <v>389.02</v>
    <v>386.21</v>
    <v>384.52</v>
    <v>374.87</v>
    <v>371.01</v>
    <v>376.35</v>
    <v>379.95</v>
    <v>382</v>
    <v>374.13</v>
    <v>394.69</v>
    <v>398.51</v>
    <v>395.12</v>
    <v>398.49</v>
    <v>395.45</v>
    <v>394.24</v>
    <v>396.03</v>
    <v>394.59</v>
    <v>399.9</v>
    <v>402.42</v>
    <v>402.33</v>
    <v>395.91</v>
    <v>395.23</v>
    <v>407.68</v>
    <v>407.38</v>
    <v>406.91</v>
    <v>399.59</v>
    <v>393.83</v>
    <v>393.16</v>
    <v>396.24</v>
    <v>393.28</v>
    <v>398.95</v>
    <v>401.97</v>
    <v>399.4</v>
    <v>389.63</v>
    <v>383.27</v>
    <v>380.02</v>
    <v>380.54</v>
    <v>386.23</v>
    <v>380.72</v>
    <v>382.91</v>
    <v>381.4</v>
    <v>376.66</v>
    <v>383.44</v>
    <v>382.43</v>
    <v>380.82</v>
    <v>383.76</v>
    <v>379.38</v>
    <v>388.08</v>
    <v>387.86</v>
    <v>390.58</v>
    <v>395.52</v>
    <v>396.96</v>
    <v>398.5</v>
    <v>397.77</v>
    <v>391.49</v>
    <v>388.64</v>
    <v>395.88</v>
    <v>400.63</v>
    <v>400.2</v>
    <v>400.35</v>
    <v>404.75</v>
    <v>405.68</v>
    <v>400.59</v>
    <v>406.48</v>
    <v>410.8</v>
    <v>416.78</v>
    <v>412.35</v>
    <v>409.83</v>
    <v>415.19</v>
    <v>410.65</v>
    <v>407.09</v>
    <v>408.04</v>
    <v>412.83</v>
    <v>412.64</v>
    <v>413.98</v>
    <v>408.28</v>
    <v>407.26</v>
    <v>399.09</v>
    <v>398.54</v>
    <v>400.66</v>
    <v>396.38</v>
    <v>397.73</v>
    <v>396.26</v>
    <v>394.74</v>
    <v>397.81</v>
    <v>404.19</v>
    <v>404.47</v>
    <v>398.27</v>
    <v>398.92</v>
    <v>391.56</v>
    <v>385.91</v>
    <v>385.36</v>
    <v>391.73</v>
    <v>389.28</v>
    <v>396.11</v>
    <v>389.99</v>
    <v>393.74</v>
    <v>398.91</v>
    <v>392.11</v>
    <v>393.17</v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</a>
</arrayData>
</file>

<file path=xl/richData/rdrichvalue.xml><?xml version="1.0" encoding="utf-8"?>
<rvData xmlns="http://schemas.microsoft.com/office/spreadsheetml/2017/richdata" count="1">
  <rv s="0">
    <v>0</v>
    <v>^SPY</v>
    <v>Daily</v>
    <v>44780</v>
    <v>45876</v>
    <v>0</v>
    <v>1</v>
    <v>638900352000000000,638901389058260088,0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nbc.com/quotes/US10Y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pages.stern.nyu.edu/~adamodar/New_Home_Page/datafile/ctryprem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A6BE-57BE-4364-A46F-42BDB032BC98}">
  <sheetPr codeName="Sheet1"/>
  <dimension ref="A1:DD350"/>
  <sheetViews>
    <sheetView showGridLines="0" tabSelected="1" zoomScaleNormal="100" workbookViewId="0"/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/>
    <col min="8" max="16384" width="17.7109375" style="15"/>
  </cols>
  <sheetData>
    <row r="1" spans="1:19" s="1" customFormat="1" x14ac:dyDescent="0.25">
      <c r="A1" s="40"/>
      <c r="B1" s="41"/>
    </row>
    <row r="2" spans="1:19" s="73" customFormat="1" ht="18.75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1.6</v>
      </c>
      <c r="F4" s="14">
        <f ca="1">IFERROR(YEARFRAC(D7,DATE(D6,MONTH(D12),DAY(D12)),3),1)</f>
        <v>0.59726027397260273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2025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 ca="1">IFERROR(IF(I8,I8,D6+9),1)</f>
        <v>2034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">
        <v>0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IF(SUM(--(ISNUMBER(S7:S8)))&gt;0,AVERAGE(S7:S8),IFERROR(_xlfn.XLOOKUP(D7,13:13,68:68),"NA"))</f>
        <v>NA</v>
      </c>
    </row>
    <row r="7" spans="1:19" x14ac:dyDescent="0.25">
      <c r="A7" s="50"/>
      <c r="C7" s="15" t="str">
        <f>"Valuation Date"</f>
        <v>Valuation Date</v>
      </c>
      <c r="D7" s="55">
        <f ca="1">TODAY()</f>
        <v>45876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IFERROR(K6,"NA")</f>
        <v>NA</v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/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D7,0,0,1)),INDEX(_xlpm.x,,COUNTA(_xlpm.x))),"NA")</f>
        <v>NA</v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")),"NA")</f>
        <v>NA</v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")),"NA")</f>
        <v>NA</v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")),"NA")</f>
        <v>NA</v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")),"NA")</f>
        <v>NA</v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")),"NA")</f>
        <v>NA</v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")),"NA")</f>
        <v>NA</v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")),"NA")</f>
        <v>NA</v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IFERROR(D33:OFFSET(D33,0,$F$6-$D$9)-D30:OFFSET(D30,0,$F$6-$D$9)-D24:OFFSET(D24,0,$F$6-$D$9),"NA")</f>
        <v>NA</v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IFERROR(-D41:OFFSET(D41,0,$F$6-$D$9)*D21:OFFSET(D21,0,$F$6-$D$9),"NA")</f>
        <v>NA</v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")),"NA")%,"NA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IFERROR(D21:OFFSET(D21,0,$F$6-$D$9)+D40:OFFSET(D40,0,$F$6-$D$9),"NA")</f>
        <v>NA</v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IFERROR(D43:OFFSET(D43,0,$F$6-$D$9)+D24:OFFSET(D24,0,$F$6-$D$9)+D36:OFFSET(D36,0,$F$6-$D$9)+D27:OFFSET(D27,0,$F$6-$D$9),"NA")</f>
        <v>NA</v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")),"NA")</f>
        <v>NA</v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IFERROR((D49:OFFSET(D49,0,$F$6-$D$9)+E49:OFFSET(E49,0,$F$6-$D$9))/2,"NA")</f>
        <v>NA</v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IFERROR(C51:OFFSET(C51,0,$F$6-$D$9)*(1-$E$4)+D51:OFFSET(D51,0,$F$6-$D$9)*(1-$F$4),"NA")</f>
        <v>NA</v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")),"NA")</f>
        <v>NA</v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IFERROR(C55:OFFSET(C55,0,$F$6-$D$9)*(1-$E$4)+D55:OFFSET(D55,0,$F$6-$D$9)*(1-$F$4),"NA")</f>
        <v>NA</v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")),"NA")</f>
        <v>NA</v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")),"NA")</f>
        <v>NA</v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IFERROR(_xlfn.ANCHORARRAY(D62)-_xlfn.ANCHORARRAY(D55),"NA")</f>
        <v>NA</v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IFERROR(C64:OFFSET(C64,0,$F$6-$D$9)*(1-$E$4)+D64:OFFSET(D64,0,$F$6-$D$9)*(1-$F$4),"NA")</f>
        <v>NA</v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IFERROR(_xlfn.ANCHORARRAY(D62)/_xlfn.ANCHORARRAY(D18),"NA")</f>
        <v>NA</v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NA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>NA</v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),IF(D136="NA",1,_xlpm.x))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>NA</v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>NA</v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>NA</v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 ca="1">"FY"&amp;F6&amp;" EBITDA"</f>
        <v>FY2034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 t="shared" ref="H240:H245" si="0"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 t="shared" si="0"/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 t="shared" si="0"/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 t="shared" si="0"/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 t="shared" si="0"/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 t="shared" si="0"/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 ca="1">"FY"&amp;F6+1&amp;" "&amp;C224</f>
        <v>FY2035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 t="shared" ref="H258:H263" si="1"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 t="shared" si="1"/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 t="shared" si="1"/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 t="shared" si="1"/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 t="shared" si="1"/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 t="shared" si="1"/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08" s="40" customFormat="1" outlineLevel="1" x14ac:dyDescent="0.25">
      <c r="B289" s="41"/>
    </row>
    <row r="290" spans="1:108" s="40" customFormat="1" x14ac:dyDescent="0.25">
      <c r="A290" s="40" t="str">
        <f>""</f>
        <v/>
      </c>
      <c r="B290" s="41" t="str">
        <f>""</f>
        <v/>
      </c>
      <c r="C290" s="40" t="str">
        <f>""</f>
        <v/>
      </c>
      <c r="D290" s="40" t="str">
        <f>""</f>
        <v/>
      </c>
      <c r="E290" s="40" t="str">
        <f>""</f>
        <v/>
      </c>
      <c r="F290" s="40" t="str">
        <f>""</f>
        <v/>
      </c>
      <c r="G290" s="40" t="str">
        <f>""</f>
        <v/>
      </c>
      <c r="H290" s="40" t="str">
        <f>""</f>
        <v/>
      </c>
      <c r="I290" s="40" t="str">
        <f>""</f>
        <v/>
      </c>
      <c r="J290" s="40" t="str">
        <f>""</f>
        <v/>
      </c>
      <c r="K290" s="40" t="str">
        <f>""</f>
        <v/>
      </c>
      <c r="L290" s="40" t="str">
        <f>""</f>
        <v/>
      </c>
      <c r="M290" s="40" t="str">
        <f>""</f>
        <v/>
      </c>
      <c r="N290" s="40" t="str">
        <f>""</f>
        <v/>
      </c>
      <c r="O290" s="40" t="str">
        <f>""</f>
        <v/>
      </c>
      <c r="P290" s="40" t="str">
        <f>""</f>
        <v/>
      </c>
      <c r="Q290" s="40" t="str">
        <f>""</f>
        <v/>
      </c>
      <c r="R290" s="40" t="str">
        <f>""</f>
        <v/>
      </c>
      <c r="S290" s="40" t="str">
        <f>""</f>
        <v/>
      </c>
      <c r="T290" s="40" t="str">
        <f>""</f>
        <v/>
      </c>
      <c r="U290" s="40" t="str">
        <f>""</f>
        <v/>
      </c>
      <c r="V290" s="40" t="str">
        <f>""</f>
        <v/>
      </c>
      <c r="W290" s="40" t="str">
        <f>""</f>
        <v/>
      </c>
      <c r="X290" s="40" t="str">
        <f>""</f>
        <v/>
      </c>
      <c r="Y290" s="40" t="str">
        <f>""</f>
        <v/>
      </c>
      <c r="Z290" s="40" t="str">
        <f>""</f>
        <v/>
      </c>
      <c r="AA290" s="40" t="str">
        <f>""</f>
        <v/>
      </c>
      <c r="AB290" s="40" t="str">
        <f>""</f>
        <v/>
      </c>
      <c r="AC290" s="40" t="str">
        <f>""</f>
        <v/>
      </c>
      <c r="AD290" s="40" t="str">
        <f>""</f>
        <v/>
      </c>
      <c r="AE290" s="40" t="str">
        <f>""</f>
        <v/>
      </c>
      <c r="AF290" s="40" t="str">
        <f>""</f>
        <v/>
      </c>
      <c r="AG290" s="40" t="str">
        <f>""</f>
        <v/>
      </c>
      <c r="AH290" s="40" t="str">
        <f>""</f>
        <v/>
      </c>
      <c r="AI290" s="40" t="str">
        <f>""</f>
        <v/>
      </c>
      <c r="AJ290" s="40" t="str">
        <f>""</f>
        <v/>
      </c>
      <c r="AK290" s="40" t="str">
        <f>""</f>
        <v/>
      </c>
      <c r="AL290" s="40" t="str">
        <f>""</f>
        <v/>
      </c>
      <c r="AM290" s="40" t="str">
        <f>""</f>
        <v/>
      </c>
      <c r="AN290" s="40" t="str">
        <f>""</f>
        <v/>
      </c>
      <c r="AO290" s="40" t="str">
        <f>""</f>
        <v/>
      </c>
      <c r="AP290" s="40" t="str">
        <f>""</f>
        <v/>
      </c>
      <c r="AQ290" s="40" t="str">
        <f>""</f>
        <v/>
      </c>
      <c r="AR290" s="40" t="str">
        <f>""</f>
        <v/>
      </c>
      <c r="AS290" s="40" t="str">
        <f>""</f>
        <v/>
      </c>
      <c r="AT290" s="40" t="str">
        <f>""</f>
        <v/>
      </c>
      <c r="AU290" s="40" t="str">
        <f>""</f>
        <v/>
      </c>
      <c r="AV290" s="40" t="str">
        <f>""</f>
        <v/>
      </c>
      <c r="AW290" s="40" t="str">
        <f>""</f>
        <v/>
      </c>
      <c r="AX290" s="40" t="str">
        <f>""</f>
        <v/>
      </c>
      <c r="AY290" s="40" t="str">
        <f>""</f>
        <v/>
      </c>
      <c r="AZ290" s="40" t="str">
        <f>""</f>
        <v/>
      </c>
      <c r="BA290" s="40" t="str">
        <f>""</f>
        <v/>
      </c>
      <c r="BB290" s="40" t="str">
        <f>""</f>
        <v/>
      </c>
      <c r="BC290" s="40" t="str">
        <f>""</f>
        <v/>
      </c>
      <c r="BD290" s="40" t="str">
        <f>""</f>
        <v/>
      </c>
      <c r="BE290" s="40" t="str">
        <f>""</f>
        <v/>
      </c>
      <c r="BF290" s="40" t="str">
        <f>""</f>
        <v/>
      </c>
      <c r="BG290" s="40" t="str">
        <f>""</f>
        <v/>
      </c>
      <c r="BH290" s="40" t="str">
        <f>""</f>
        <v/>
      </c>
      <c r="BI290" s="40" t="str">
        <f>""</f>
        <v/>
      </c>
      <c r="BJ290" s="40" t="str">
        <f>""</f>
        <v/>
      </c>
      <c r="BK290" s="40" t="str">
        <f>""</f>
        <v/>
      </c>
      <c r="BL290" s="40" t="str">
        <f>""</f>
        <v/>
      </c>
      <c r="BM290" s="40" t="str">
        <f>""</f>
        <v/>
      </c>
      <c r="BN290" s="40" t="str">
        <f>""</f>
        <v/>
      </c>
      <c r="BO290" s="40" t="str">
        <f>""</f>
        <v/>
      </c>
      <c r="BP290" s="40" t="str">
        <f>""</f>
        <v/>
      </c>
      <c r="BQ290" s="40" t="str">
        <f>""</f>
        <v/>
      </c>
      <c r="BR290" s="40" t="str">
        <f>""</f>
        <v/>
      </c>
      <c r="BS290" s="40" t="str">
        <f>""</f>
        <v/>
      </c>
      <c r="BT290" s="40" t="str">
        <f>""</f>
        <v/>
      </c>
      <c r="BU290" s="40" t="str">
        <f>""</f>
        <v/>
      </c>
      <c r="BV290" s="40" t="str">
        <f>""</f>
        <v/>
      </c>
      <c r="BW290" s="40" t="str">
        <f>""</f>
        <v/>
      </c>
      <c r="BX290" s="40" t="str">
        <f>""</f>
        <v/>
      </c>
      <c r="BY290" s="40" t="str">
        <f>""</f>
        <v/>
      </c>
      <c r="BZ290" s="40" t="str">
        <f>""</f>
        <v/>
      </c>
      <c r="CA290" s="40" t="str">
        <f>""</f>
        <v/>
      </c>
      <c r="CB290" s="40" t="str">
        <f>""</f>
        <v/>
      </c>
      <c r="CC290" s="40" t="str">
        <f>""</f>
        <v/>
      </c>
      <c r="CD290" s="40" t="str">
        <f>""</f>
        <v/>
      </c>
      <c r="CE290" s="40" t="str">
        <f>""</f>
        <v/>
      </c>
      <c r="CF290" s="40" t="str">
        <f>""</f>
        <v/>
      </c>
      <c r="CG290" s="40" t="str">
        <f>""</f>
        <v/>
      </c>
      <c r="CH290" s="40" t="str">
        <f>""</f>
        <v/>
      </c>
      <c r="CI290" s="40" t="str">
        <f>""</f>
        <v/>
      </c>
      <c r="CJ290" s="40" t="str">
        <f>""</f>
        <v/>
      </c>
      <c r="CK290" s="40" t="str">
        <f>""</f>
        <v/>
      </c>
      <c r="CL290" s="40" t="str">
        <f>""</f>
        <v/>
      </c>
      <c r="CM290" s="40" t="str">
        <f>""</f>
        <v/>
      </c>
      <c r="CN290" s="40" t="str">
        <f>""</f>
        <v/>
      </c>
      <c r="CO290" s="40" t="str">
        <f>""</f>
        <v/>
      </c>
      <c r="CP290" s="40" t="str">
        <f>""</f>
        <v/>
      </c>
      <c r="CQ290" s="40" t="str">
        <f>""</f>
        <v/>
      </c>
      <c r="CR290" s="40" t="str">
        <f>""</f>
        <v/>
      </c>
      <c r="CS290" s="40" t="str">
        <f>""</f>
        <v/>
      </c>
      <c r="CT290" s="40" t="str">
        <f>""</f>
        <v/>
      </c>
      <c r="CU290" s="40" t="str">
        <f>""</f>
        <v/>
      </c>
      <c r="CV290" s="40" t="str">
        <f>""</f>
        <v/>
      </c>
      <c r="CW290" s="40" t="str">
        <f>""</f>
        <v/>
      </c>
      <c r="CX290" s="40" t="str">
        <f>""</f>
        <v/>
      </c>
      <c r="CY290" s="40" t="str">
        <f>""</f>
        <v/>
      </c>
      <c r="CZ290" s="40" t="str">
        <f>""</f>
        <v/>
      </c>
      <c r="DA290" s="40" t="str">
        <f>""</f>
        <v/>
      </c>
      <c r="DB290" s="40" t="str">
        <f>""</f>
        <v/>
      </c>
      <c r="DC290" s="40" t="str">
        <f>""</f>
        <v/>
      </c>
      <c r="DD290" s="40" t="str">
        <f>""</f>
        <v/>
      </c>
    </row>
    <row r="291" spans="1:108" s="1" customFormat="1" x14ac:dyDescent="0.25">
      <c r="A291" s="40"/>
      <c r="B291" s="41"/>
    </row>
    <row r="292" spans="1:108" s="1" customFormat="1" x14ac:dyDescent="0.25">
      <c r="A292" s="40"/>
      <c r="B292" s="41"/>
    </row>
    <row r="293" spans="1:108" s="1" customFormat="1" x14ac:dyDescent="0.25">
      <c r="A293" s="40"/>
      <c r="B293" s="41"/>
    </row>
    <row r="294" spans="1:108" s="1" customFormat="1" x14ac:dyDescent="0.25">
      <c r="A294" s="40"/>
      <c r="B294" s="41"/>
    </row>
    <row r="295" spans="1:108" s="1" customFormat="1" x14ac:dyDescent="0.25">
      <c r="A295" s="40"/>
      <c r="B295" s="41"/>
    </row>
    <row r="296" spans="1:108" s="1" customFormat="1" x14ac:dyDescent="0.25">
      <c r="A296" s="40"/>
      <c r="B296" s="41"/>
    </row>
    <row r="297" spans="1:108" s="1" customFormat="1" x14ac:dyDescent="0.25">
      <c r="A297" s="40"/>
      <c r="B297" s="41"/>
    </row>
    <row r="298" spans="1:108" s="1" customFormat="1" x14ac:dyDescent="0.25">
      <c r="A298" s="40"/>
      <c r="B298" s="41"/>
    </row>
    <row r="299" spans="1:108" s="1" customFormat="1" x14ac:dyDescent="0.25">
      <c r="A299" s="40"/>
      <c r="B299" s="41"/>
    </row>
    <row r="300" spans="1:108" s="1" customFormat="1" x14ac:dyDescent="0.25">
      <c r="A300" s="40"/>
      <c r="B300" s="41"/>
    </row>
    <row r="301" spans="1:108" s="1" customFormat="1" x14ac:dyDescent="0.25">
      <c r="A301" s="40"/>
      <c r="B301" s="41"/>
    </row>
    <row r="302" spans="1:108" s="1" customFormat="1" x14ac:dyDescent="0.25">
      <c r="A302" s="40"/>
      <c r="B302" s="41"/>
    </row>
    <row r="303" spans="1:108" s="1" customFormat="1" x14ac:dyDescent="0.25">
      <c r="A303" s="40"/>
      <c r="B303" s="41"/>
    </row>
    <row r="304" spans="1:108" s="1" customFormat="1" x14ac:dyDescent="0.25">
      <c r="A304" s="40"/>
      <c r="B304" s="41"/>
    </row>
    <row r="305" spans="1:2" s="1" customFormat="1" x14ac:dyDescent="0.25">
      <c r="A305" s="40"/>
      <c r="B305" s="41"/>
    </row>
    <row r="306" spans="1:2" s="1" customFormat="1" x14ac:dyDescent="0.25">
      <c r="A306" s="40"/>
      <c r="B306" s="41"/>
    </row>
    <row r="307" spans="1:2" s="1" customFormat="1" x14ac:dyDescent="0.25">
      <c r="A307" s="40"/>
      <c r="B307" s="41"/>
    </row>
    <row r="308" spans="1:2" s="1" customFormat="1" x14ac:dyDescent="0.25">
      <c r="A308" s="40"/>
      <c r="B308" s="41"/>
    </row>
    <row r="309" spans="1:2" s="1" customFormat="1" x14ac:dyDescent="0.25">
      <c r="A309" s="40"/>
      <c r="B309" s="41"/>
    </row>
    <row r="310" spans="1:2" s="1" customFormat="1" x14ac:dyDescent="0.25">
      <c r="A310" s="40"/>
      <c r="B310" s="41"/>
    </row>
    <row r="311" spans="1:2" s="1" customFormat="1" x14ac:dyDescent="0.25">
      <c r="A311" s="40"/>
      <c r="B311" s="41"/>
    </row>
    <row r="312" spans="1:2" s="1" customFormat="1" x14ac:dyDescent="0.25">
      <c r="A312" s="40"/>
      <c r="B312" s="41"/>
    </row>
    <row r="313" spans="1:2" s="1" customFormat="1" x14ac:dyDescent="0.25">
      <c r="A313" s="40"/>
      <c r="B313" s="41"/>
    </row>
    <row r="314" spans="1:2" s="1" customFormat="1" x14ac:dyDescent="0.25">
      <c r="A314" s="40"/>
      <c r="B314" s="41"/>
    </row>
    <row r="315" spans="1:2" s="1" customFormat="1" x14ac:dyDescent="0.25">
      <c r="A315" s="40"/>
      <c r="B315" s="41"/>
    </row>
    <row r="316" spans="1:2" s="1" customFormat="1" x14ac:dyDescent="0.25">
      <c r="A316" s="40"/>
      <c r="B316" s="41"/>
    </row>
    <row r="317" spans="1:2" s="1" customFormat="1" x14ac:dyDescent="0.25">
      <c r="A317" s="40"/>
      <c r="B317" s="41"/>
    </row>
    <row r="318" spans="1:2" s="1" customFormat="1" x14ac:dyDescent="0.25">
      <c r="A318" s="40"/>
      <c r="B318" s="41"/>
    </row>
    <row r="319" spans="1:2" s="1" customFormat="1" x14ac:dyDescent="0.25">
      <c r="A319" s="40"/>
      <c r="B319" s="41"/>
    </row>
    <row r="320" spans="1:2" s="1" customFormat="1" x14ac:dyDescent="0.25">
      <c r="A320" s="40"/>
      <c r="B320" s="41"/>
    </row>
    <row r="321" spans="1:2" s="1" customFormat="1" x14ac:dyDescent="0.25">
      <c r="A321" s="40"/>
      <c r="B321" s="41"/>
    </row>
    <row r="322" spans="1:2" s="1" customFormat="1" x14ac:dyDescent="0.25">
      <c r="A322" s="40"/>
      <c r="B322" s="41"/>
    </row>
    <row r="323" spans="1:2" s="1" customFormat="1" x14ac:dyDescent="0.25">
      <c r="A323" s="40"/>
      <c r="B323" s="41"/>
    </row>
    <row r="324" spans="1:2" s="1" customFormat="1" x14ac:dyDescent="0.25">
      <c r="A324" s="40"/>
      <c r="B324" s="41"/>
    </row>
    <row r="325" spans="1:2" s="1" customFormat="1" x14ac:dyDescent="0.25">
      <c r="A325" s="40"/>
      <c r="B325" s="41"/>
    </row>
    <row r="326" spans="1:2" s="1" customFormat="1" x14ac:dyDescent="0.25">
      <c r="A326" s="40"/>
      <c r="B326" s="41"/>
    </row>
    <row r="327" spans="1:2" s="1" customFormat="1" x14ac:dyDescent="0.25">
      <c r="A327" s="40"/>
      <c r="B327" s="41"/>
    </row>
    <row r="328" spans="1:2" s="1" customFormat="1" x14ac:dyDescent="0.25">
      <c r="A328" s="40"/>
      <c r="B328" s="41"/>
    </row>
    <row r="329" spans="1:2" s="1" customFormat="1" x14ac:dyDescent="0.25">
      <c r="A329" s="40"/>
      <c r="B329" s="41"/>
    </row>
    <row r="330" spans="1:2" s="1" customFormat="1" x14ac:dyDescent="0.25">
      <c r="A330" s="40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sheetProtection insertColumns="0" insertRows="0" deleteColumns="0" deleteRows="0"/>
  <phoneticPr fontId="8" type="noConversion"/>
  <dataValidations disablePrompts="1" count="1">
    <dataValidation type="list" allowBlank="1" showInputMessage="1" showErrorMessage="1" sqref="F8" xr:uid="{C73D3C1D-1CD6-4F6C-86E0-4CF7E7136D2D}">
      <formula1>$H$5:$K$5</formula1>
    </dataValidation>
  </dataValidations>
  <hyperlinks>
    <hyperlink ref="C270" r:id="rId1" display="Market Risk Premium" xr:uid="{CADB8C92-138D-4054-82A1-529715303CF9}"/>
    <hyperlink ref="C271" r:id="rId2" display="Country Risk Premium" xr:uid="{BC3C8CED-E257-4936-B35F-94FF1C61F7B3}"/>
    <hyperlink ref="C269" r:id="rId3" display="Risk-Free Rate" xr:uid="{58C1CAE9-B32D-4592-8560-817ED874B74C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Manager/>
  <Company>SoftArtisans,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Dang Duong Nguyen</cp:lastModifiedBy>
  <dcterms:created xsi:type="dcterms:W3CDTF">2025-08-04T14:24:16Z</dcterms:created>
  <dcterms:modified xsi:type="dcterms:W3CDTF">2025-08-07T11:15:41Z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