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8_{A8E737B7-584A-41D1-96FD-8D7DBEFE180A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CF Model" sheetId="1" r:id="rId1"/>
  </sheets>
  <definedNames>
    <definedName name="_xlpm.a" hidden="1" xlm="1">#NAME?</definedName>
    <definedName name="_xlpm.arr" hidden="1" xlm="1">#NAME?</definedName>
    <definedName name="_xlpm.b" hidden="1" xlm="1">#NAME?</definedName>
    <definedName name="_xlpm.base" hidden="1" xlm="1">#NAME?</definedName>
    <definedName name="_xlpm.cutoff" hidden="1" xlm="1">#NAME?</definedName>
    <definedName name="_xlpm.dates" hidden="1" xlm="1">#NAME?</definedName>
    <definedName name="_xlpm.decay" hidden="1" xlm="1">#NAME?</definedName>
    <definedName name="_xlpm.end" hidden="1" xlm="1">#NAME?</definedName>
    <definedName name="_xlpm.firstOnePos" hidden="1" xlm="1">#NAME?</definedName>
    <definedName name="_xlpm.growths" hidden="1" xlm="1">#NAME?</definedName>
    <definedName name="_xlpm.longForward" hidden="1" xlm="1">#NAME?</definedName>
    <definedName name="_xlpm.midpoint1" hidden="1" xlm="1">#NAME?</definedName>
    <definedName name="_xlpm.midpoint2" hidden="1" xlm="1">#NAME?</definedName>
    <definedName name="_xlpm.n" hidden="1" xlm="1">#NAME?</definedName>
    <definedName name="_xlpm.original" hidden="1" xlm="1">#NAME?</definedName>
    <definedName name="_xlpm.p" hidden="1" xlm="1">#NAME?</definedName>
    <definedName name="_xlpm.priorDate" hidden="1" xlm="1">#NAME?</definedName>
    <definedName name="_xlpm.result" hidden="1" xlm="1">#NAME?</definedName>
    <definedName name="_xlpm.shortBackward" hidden="1" xlm="1">#NAME?</definedName>
    <definedName name="_xlpm.shortForward" hidden="1" xlm="1">#NAME?</definedName>
    <definedName name="_xlpm.start" hidden="1" xlm="1">#NAME?</definedName>
    <definedName name="_xlpm.steps" hidden="1" xlm="1">#NAME?</definedName>
    <definedName name="_xlpm.x" hidden="1" xlm="1">#NAME?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0" i="1" l="1" a="1"/>
  <c r="BI312" i="1" a="1"/>
  <c r="AF312" i="1" a="1"/>
  <c r="C312" i="1" a="1"/>
  <c r="D290" i="1" l="1"/>
  <c r="BI312" i="1"/>
  <c r="AF312" i="1"/>
  <c r="C312" i="1"/>
  <c r="A291" i="1"/>
  <c r="C288" i="1"/>
  <c r="C287" i="1"/>
  <c r="C286" i="1"/>
  <c r="C283" i="1"/>
  <c r="C282" i="1"/>
  <c r="C281" i="1"/>
  <c r="C279" i="1"/>
  <c r="C278" i="1"/>
  <c r="C276" i="1"/>
  <c r="C275" i="1"/>
  <c r="C274" i="1"/>
  <c r="C272" i="1"/>
  <c r="D271" i="1"/>
  <c r="C271" i="1"/>
  <c r="D270" i="1"/>
  <c r="C270" i="1"/>
  <c r="D269" i="1"/>
  <c r="C269" i="1"/>
  <c r="C268" i="1"/>
  <c r="A266" i="1"/>
  <c r="C265" i="1"/>
  <c r="C263" i="1"/>
  <c r="C262" i="1"/>
  <c r="C261" i="1"/>
  <c r="H258" i="1"/>
  <c r="H259" i="1" s="1"/>
  <c r="H260" i="1" s="1"/>
  <c r="H261" i="1" s="1"/>
  <c r="H262" i="1" s="1"/>
  <c r="H263" i="1" s="1"/>
  <c r="C258" i="1"/>
  <c r="H257" i="1"/>
  <c r="H256" i="1"/>
  <c r="H255" i="1" s="1"/>
  <c r="H254" i="1" s="1"/>
  <c r="H253" i="1" s="1"/>
  <c r="H252" i="1" s="1"/>
  <c r="C256" i="1"/>
  <c r="C254" i="1"/>
  <c r="C253" i="1"/>
  <c r="C252" i="1"/>
  <c r="K251" i="1"/>
  <c r="L251" i="1" s="1"/>
  <c r="M251" i="1" s="1"/>
  <c r="J251" i="1"/>
  <c r="I251" i="1" s="1"/>
  <c r="C250" i="1"/>
  <c r="K250" i="1" s="1"/>
  <c r="A248" i="1"/>
  <c r="F247" i="1"/>
  <c r="C247" i="1"/>
  <c r="C245" i="1"/>
  <c r="C244" i="1"/>
  <c r="C243" i="1"/>
  <c r="C240" i="1"/>
  <c r="H239" i="1"/>
  <c r="H240" i="1" s="1"/>
  <c r="H241" i="1" s="1"/>
  <c r="H242" i="1" s="1"/>
  <c r="H243" i="1" s="1"/>
  <c r="H244" i="1" s="1"/>
  <c r="H245" i="1" s="1"/>
  <c r="C238" i="1"/>
  <c r="C236" i="1"/>
  <c r="C235" i="1"/>
  <c r="C234" i="1"/>
  <c r="M233" i="1"/>
  <c r="L233" i="1"/>
  <c r="K233" i="1"/>
  <c r="J233" i="1"/>
  <c r="I233" i="1"/>
  <c r="A230" i="1"/>
  <c r="F229" i="1"/>
  <c r="C229" i="1"/>
  <c r="C227" i="1"/>
  <c r="C225" i="1"/>
  <c r="C222" i="1"/>
  <c r="C221" i="1"/>
  <c r="A220" i="1"/>
  <c r="C219" i="1"/>
  <c r="C217" i="1"/>
  <c r="C214" i="1"/>
  <c r="C206" i="1"/>
  <c r="C203" i="1"/>
  <c r="C200" i="1"/>
  <c r="C192" i="1"/>
  <c r="A191" i="1"/>
  <c r="C190" i="1"/>
  <c r="K5" i="1" s="1"/>
  <c r="C188" i="1"/>
  <c r="C185" i="1"/>
  <c r="C179" i="1"/>
  <c r="C172" i="1"/>
  <c r="C166" i="1"/>
  <c r="C163" i="1"/>
  <c r="A162" i="1"/>
  <c r="C161" i="1"/>
  <c r="C159" i="1"/>
  <c r="C156" i="1"/>
  <c r="C150" i="1"/>
  <c r="C145" i="1"/>
  <c r="C134" i="1"/>
  <c r="A133" i="1"/>
  <c r="C132" i="1"/>
  <c r="C130" i="1"/>
  <c r="C129" i="1"/>
  <c r="C127" i="1"/>
  <c r="C123" i="1"/>
  <c r="C121" i="1"/>
  <c r="C117" i="1"/>
  <c r="C111" i="1"/>
  <c r="C105" i="1"/>
  <c r="A104" i="1"/>
  <c r="C103" i="1"/>
  <c r="C101" i="1"/>
  <c r="C95" i="1"/>
  <c r="C94" i="1"/>
  <c r="C90" i="1"/>
  <c r="C84" i="1"/>
  <c r="C76" i="1"/>
  <c r="A75" i="1"/>
  <c r="C74" i="1"/>
  <c r="C72" i="1"/>
  <c r="C70" i="1"/>
  <c r="C68" i="1"/>
  <c r="C66" i="1"/>
  <c r="C64" i="1"/>
  <c r="C62" i="1"/>
  <c r="C60" i="1"/>
  <c r="C277" i="1" s="1"/>
  <c r="C58" i="1"/>
  <c r="C56" i="1"/>
  <c r="C55" i="1"/>
  <c r="C257" i="1" s="1"/>
  <c r="C285" i="1" s="1"/>
  <c r="C53" i="1"/>
  <c r="C260" i="1" s="1"/>
  <c r="C51" i="1"/>
  <c r="C49" i="1"/>
  <c r="C47" i="1"/>
  <c r="C46" i="1"/>
  <c r="C187" i="1" s="1"/>
  <c r="C44" i="1"/>
  <c r="C98" i="1" s="1"/>
  <c r="C43" i="1"/>
  <c r="C126" i="1" s="1"/>
  <c r="C41" i="1"/>
  <c r="C211" i="1" s="1"/>
  <c r="C40" i="1"/>
  <c r="C210" i="1" s="1"/>
  <c r="C38" i="1"/>
  <c r="C208" i="1" s="1"/>
  <c r="C37" i="1"/>
  <c r="C149" i="1" s="1"/>
  <c r="C36" i="1"/>
  <c r="C177" i="1" s="1"/>
  <c r="C34" i="1"/>
  <c r="C33" i="1"/>
  <c r="C31" i="1"/>
  <c r="C28" i="1"/>
  <c r="C175" i="1" s="1"/>
  <c r="C27" i="1"/>
  <c r="C87" i="1" s="1"/>
  <c r="C25" i="1"/>
  <c r="C114" i="1" s="1"/>
  <c r="C24" i="1"/>
  <c r="C142" i="1" s="1"/>
  <c r="C22" i="1"/>
  <c r="C82" i="1" s="1"/>
  <c r="C21" i="1"/>
  <c r="C110" i="1" s="1"/>
  <c r="C19" i="1"/>
  <c r="C18" i="1"/>
  <c r="C16" i="1"/>
  <c r="C137" i="1" s="1"/>
  <c r="C15" i="1"/>
  <c r="C107" i="1" s="1"/>
  <c r="C13" i="1"/>
  <c r="C12" i="1"/>
  <c r="A11" i="1"/>
  <c r="C10" i="1"/>
  <c r="P8" i="1"/>
  <c r="L8" i="1"/>
  <c r="J8" i="1"/>
  <c r="F8" i="1"/>
  <c r="C8" i="1"/>
  <c r="G257" i="1" s="1"/>
  <c r="P7" i="1"/>
  <c r="L7" i="1"/>
  <c r="J7" i="1"/>
  <c r="I7" i="1"/>
  <c r="H7" i="1"/>
  <c r="G7" i="1"/>
  <c r="F7" i="1"/>
  <c r="C7" i="1"/>
  <c r="R6" i="1"/>
  <c r="D250" i="1" s="1"/>
  <c r="P6" i="1"/>
  <c r="L6" i="1"/>
  <c r="P5" i="1"/>
  <c r="C232" i="1" s="1"/>
  <c r="K232" i="1" s="1"/>
  <c r="L5" i="1"/>
  <c r="J5" i="1"/>
  <c r="I5" i="1"/>
  <c r="H5" i="1"/>
  <c r="R4" i="1"/>
  <c r="Q4" i="1"/>
  <c r="P4" i="1"/>
  <c r="O4" i="1"/>
  <c r="N4" i="1"/>
  <c r="M4" i="1"/>
  <c r="L4" i="1"/>
  <c r="K4" i="1"/>
  <c r="J4" i="1"/>
  <c r="I4" i="1"/>
  <c r="H4" i="1"/>
  <c r="G4" i="1"/>
  <c r="A2" i="1"/>
  <c r="M295" i="1" a="1"/>
  <c r="F295" i="1" a="1"/>
  <c r="S295" i="1" a="1"/>
  <c r="G295" i="1" a="1"/>
  <c r="K295" i="1" a="1"/>
  <c r="P295" i="1" a="1"/>
  <c r="I295" i="1" a="1"/>
  <c r="Q295" i="1" a="1"/>
  <c r="R295" i="1" a="1"/>
  <c r="J295" i="1" a="1"/>
  <c r="O295" i="1" a="1"/>
  <c r="H295" i="1" a="1"/>
  <c r="L295" i="1" a="1"/>
  <c r="E295" i="1" a="1"/>
  <c r="D305" i="1" a="1"/>
  <c r="D304" i="1" a="1"/>
  <c r="D303" i="1" a="1"/>
  <c r="D302" i="1" a="1"/>
  <c r="D301" i="1" a="1"/>
  <c r="D300" i="1" a="1"/>
  <c r="D299" i="1" a="1"/>
  <c r="D298" i="1" a="1"/>
  <c r="D297" i="1" a="1"/>
  <c r="D296" i="1" a="1"/>
  <c r="D295" i="1" a="1"/>
  <c r="C305" i="1" a="1"/>
  <c r="C304" i="1" a="1"/>
  <c r="C303" i="1" a="1"/>
  <c r="C302" i="1" a="1"/>
  <c r="C301" i="1" a="1"/>
  <c r="C300" i="1" a="1"/>
  <c r="C299" i="1" a="1"/>
  <c r="C298" i="1" a="1"/>
  <c r="C297" i="1" a="1"/>
  <c r="C296" i="1" a="1"/>
  <c r="C295" i="1" a="1"/>
  <c r="L295" i="1" l="1"/>
  <c r="H295" i="1"/>
  <c r="O295" i="1"/>
  <c r="J295" i="1"/>
  <c r="R295" i="1"/>
  <c r="Q295" i="1"/>
  <c r="I295" i="1"/>
  <c r="P295" i="1"/>
  <c r="K295" i="1"/>
  <c r="G295" i="1"/>
  <c r="S295" i="1"/>
  <c r="F295" i="1"/>
  <c r="M295" i="1"/>
  <c r="E295" i="1"/>
  <c r="D305" i="1"/>
  <c r="D304" i="1"/>
  <c r="D303" i="1"/>
  <c r="D302" i="1"/>
  <c r="D301" i="1"/>
  <c r="D300" i="1"/>
  <c r="D299" i="1"/>
  <c r="D298" i="1"/>
  <c r="D297" i="1"/>
  <c r="D296" i="1"/>
  <c r="D295" i="1"/>
  <c r="C305" i="1"/>
  <c r="C304" i="1"/>
  <c r="C303" i="1"/>
  <c r="C302" i="1"/>
  <c r="C301" i="1"/>
  <c r="C300" i="1"/>
  <c r="C299" i="1"/>
  <c r="C298" i="1"/>
  <c r="C297" i="1"/>
  <c r="C296" i="1"/>
  <c r="C295" i="1"/>
  <c r="C197" i="1"/>
  <c r="C242" i="1"/>
  <c r="C79" i="1"/>
  <c r="C91" i="1"/>
  <c r="C119" i="1"/>
  <c r="C146" i="1"/>
  <c r="C158" i="1"/>
  <c r="C168" i="1"/>
  <c r="C194" i="1"/>
  <c r="C239" i="1"/>
  <c r="C178" i="1"/>
  <c r="C88" i="1"/>
  <c r="C100" i="1"/>
  <c r="C224" i="1" s="1"/>
  <c r="C116" i="1"/>
  <c r="C136" i="1"/>
  <c r="C143" i="1"/>
  <c r="C155" i="1"/>
  <c r="C171" i="1"/>
  <c r="C216" i="1"/>
  <c r="C139" i="1"/>
  <c r="C81" i="1"/>
  <c r="C92" i="1"/>
  <c r="C108" i="1"/>
  <c r="C120" i="1"/>
  <c r="C148" i="1"/>
  <c r="C169" i="1"/>
  <c r="C181" i="1"/>
  <c r="G239" i="1"/>
  <c r="C78" i="1"/>
  <c r="C85" i="1"/>
  <c r="C97" i="1"/>
  <c r="C113" i="1"/>
  <c r="C124" i="1"/>
  <c r="C140" i="1"/>
  <c r="C152" i="1"/>
  <c r="C174" i="1"/>
  <c r="C195" i="1"/>
  <c r="C198" i="1"/>
  <c r="C201" i="1"/>
  <c r="C204" i="1"/>
  <c r="C207" i="1"/>
  <c r="C213" i="1"/>
  <c r="C165" i="1"/>
  <c r="C184" i="1"/>
  <c r="C182" i="1"/>
  <c r="C153" i="1"/>
  <c r="H238" i="1"/>
  <c r="H237" i="1" s="1"/>
  <c r="H236" i="1" s="1"/>
  <c r="H235" i="1" s="1"/>
  <c r="H234" i="1" s="1"/>
  <c r="C2" i="1" l="1" a="1"/>
  <c r="N295" i="1" l="1" a="1"/>
  <c r="N295" i="1" s="1"/>
  <c r="C2" i="1"/>
  <c r="C3" i="1" a="1"/>
  <c r="C3" i="1"/>
  <c r="G3" i="1" s="1" a="1"/>
  <c r="G3" i="1" s="1"/>
  <c r="C4" i="1" a="1"/>
  <c r="D3" i="1" l="1"/>
  <c r="C4" i="1"/>
  <c r="C5" i="1" a="1"/>
  <c r="C5" i="1"/>
  <c r="D5" i="1" a="1"/>
  <c r="F3" i="1" s="1" a="1"/>
  <c r="F3" i="1" s="1"/>
  <c r="C6" i="1" a="1"/>
  <c r="D5" i="1" l="1"/>
  <c r="C6" i="1"/>
  <c r="E6" i="1" a="1"/>
  <c r="E6" i="1" l="1"/>
  <c r="G6" i="1" a="1"/>
  <c r="G6" i="1" s="1"/>
  <c r="H6" i="1" a="1"/>
  <c r="H6" i="1" s="1"/>
  <c r="J6" i="1"/>
  <c r="K6" i="1" a="1"/>
  <c r="K6" i="1"/>
  <c r="D7" i="1"/>
  <c r="E7" i="1" a="1"/>
  <c r="E7" i="1" l="1"/>
  <c r="S7" i="1"/>
  <c r="S8" i="1" a="1"/>
  <c r="S8" i="1"/>
  <c r="D9" i="1"/>
  <c r="B16" i="1"/>
  <c r="B19" i="1"/>
  <c r="B22" i="1"/>
  <c r="B25" i="1"/>
  <c r="B28" i="1"/>
  <c r="B31" i="1" a="1"/>
  <c r="B31" i="1" l="1"/>
  <c r="C30" i="1" a="1"/>
  <c r="B34" i="1"/>
  <c r="C30" i="1" l="1"/>
  <c r="B42" i="1"/>
  <c r="B50" i="1"/>
  <c r="B56" i="1"/>
  <c r="B61" i="1"/>
  <c r="B63" i="1"/>
  <c r="B269" i="1"/>
  <c r="D268" i="1" s="1" a="1"/>
  <c r="D268" i="1" l="1"/>
  <c r="D272" i="1" s="1"/>
  <c r="B275" i="1"/>
  <c r="F6" i="1" l="1"/>
  <c r="E8" i="1" a="1"/>
  <c r="E8" i="1" l="1"/>
  <c r="E9" i="1" a="1"/>
  <c r="E9" i="1" s="1"/>
  <c r="C233" i="1"/>
  <c r="C251" i="1"/>
  <c r="D60" i="1" a="1"/>
  <c r="D18" i="1" a="1"/>
  <c r="D55" i="1" a="1"/>
  <c r="D24" i="1" a="1"/>
  <c r="D30" i="1" a="1"/>
  <c r="D62" i="1" a="1"/>
  <c r="D49" i="1" a="1"/>
  <c r="D15" i="1" a="1"/>
  <c r="D21" i="1" a="1"/>
  <c r="D27" i="1" a="1"/>
  <c r="D33" i="1" a="1"/>
  <c r="D41" i="1" a="1"/>
  <c r="D41" i="1" l="1"/>
  <c r="D33" i="1"/>
  <c r="D27" i="1"/>
  <c r="D21" i="1"/>
  <c r="D15" i="1"/>
  <c r="D136" i="1" s="1"/>
  <c r="D49" i="1"/>
  <c r="D51" i="1" s="1" a="1"/>
  <c r="D51" i="1" s="1"/>
  <c r="D62" i="1"/>
  <c r="D30" i="1"/>
  <c r="D24" i="1"/>
  <c r="D55" i="1"/>
  <c r="D18" i="1"/>
  <c r="D60" i="1"/>
  <c r="D76" i="1" a="1"/>
  <c r="D76" i="1" s="1"/>
  <c r="D12" i="1" a="1"/>
  <c r="D12" i="1" s="1"/>
  <c r="E3" i="1" s="1"/>
  <c r="D192" i="1" a="1"/>
  <c r="D192" i="1" s="1"/>
  <c r="D163" i="1" a="1"/>
  <c r="D163" i="1" s="1"/>
  <c r="D134" i="1" a="1"/>
  <c r="D134" i="1" s="1"/>
  <c r="D105" i="1" a="1"/>
  <c r="D105" i="1" s="1"/>
  <c r="D221" i="1" a="1"/>
  <c r="D28" i="1" l="1" a="1"/>
  <c r="D28" i="1" s="1"/>
  <c r="D146" i="1" s="1" a="1"/>
  <c r="D19" i="1" a="1"/>
  <c r="D19" i="1" s="1"/>
  <c r="D31" i="1" a="1"/>
  <c r="D31" i="1" s="1"/>
  <c r="D40" i="1" a="1"/>
  <c r="D40" i="1" s="1"/>
  <c r="D43" i="1" s="1" a="1"/>
  <c r="D43" i="1" s="1"/>
  <c r="D70" i="1" a="1"/>
  <c r="D70" i="1" s="1"/>
  <c r="D221" i="1"/>
  <c r="D13" i="1" a="1"/>
  <c r="D107" i="1"/>
  <c r="D78" i="1"/>
  <c r="D165" i="1"/>
  <c r="D194" i="1"/>
  <c r="D56" i="1" a="1"/>
  <c r="D56" i="1" s="1"/>
  <c r="E16" i="1" a="1"/>
  <c r="D25" i="1" a="1"/>
  <c r="D22" i="1" a="1"/>
  <c r="D64" i="1" a="1"/>
  <c r="D64" i="1" s="1"/>
  <c r="D34" i="1" a="1"/>
  <c r="D34" i="1" s="1"/>
  <c r="D36" i="1" a="1"/>
  <c r="D153" i="1" a="1"/>
  <c r="D13" i="1" l="1"/>
  <c r="D25" i="1"/>
  <c r="D143" i="1" s="1" a="1"/>
  <c r="D44" i="1" a="1"/>
  <c r="D44" i="1" s="1"/>
  <c r="D22" i="1"/>
  <c r="D140" i="1" s="1" a="1"/>
  <c r="D146" i="1"/>
  <c r="C176" i="1" s="1" a="1"/>
  <c r="C176" i="1" s="1"/>
  <c r="E16" i="1"/>
  <c r="E137" i="1" s="1" a="1"/>
  <c r="D153" i="1"/>
  <c r="C183" i="1" s="1" a="1"/>
  <c r="C183" i="1" s="1"/>
  <c r="D36" i="1"/>
  <c r="D37" i="1" s="1" a="1"/>
  <c r="E38" i="1" a="1"/>
  <c r="E38" i="1" s="1"/>
  <c r="D6" i="1" l="1"/>
  <c r="E4" i="1" s="1"/>
  <c r="S6" i="1" a="1"/>
  <c r="S6" i="1" s="1"/>
  <c r="N5" i="1" s="1"/>
  <c r="D124" i="1" a="1"/>
  <c r="D124" i="1" s="1"/>
  <c r="D88" i="1" a="1"/>
  <c r="D88" i="1" s="1"/>
  <c r="D95" i="1" a="1"/>
  <c r="D95" i="1" s="1"/>
  <c r="D278" i="1" s="1" a="1"/>
  <c r="D278" i="1" s="1"/>
  <c r="D117" i="1" a="1"/>
  <c r="D117" i="1" s="1"/>
  <c r="D46" i="1" a="1"/>
  <c r="D46" i="1" s="1"/>
  <c r="D47" i="1" s="1" a="1"/>
  <c r="D47" i="1" s="1"/>
  <c r="D143" i="1"/>
  <c r="C173" i="1" s="1" a="1"/>
  <c r="C173" i="1" s="1"/>
  <c r="D37" i="1"/>
  <c r="D149" i="1" s="1" a="1"/>
  <c r="D140" i="1"/>
  <c r="D82" i="1" s="1" a="1"/>
  <c r="D82" i="1" s="1"/>
  <c r="E137" i="1"/>
  <c r="C167" i="1" s="1" a="1"/>
  <c r="C167" i="1" s="1"/>
  <c r="F4" i="1"/>
  <c r="D162" i="1" a="1"/>
  <c r="D162" i="1" s="1"/>
  <c r="D220" i="1" a="1"/>
  <c r="D220" i="1" s="1"/>
  <c r="D104" i="1" a="1"/>
  <c r="D104" i="1" s="1"/>
  <c r="D10" i="1" a="1"/>
  <c r="D75" i="1" a="1"/>
  <c r="D75" i="1" s="1"/>
  <c r="D222" i="1" a="1"/>
  <c r="D222" i="1" s="1"/>
  <c r="D277" i="1"/>
  <c r="D275" i="1"/>
  <c r="D133" i="1" l="1" a="1"/>
  <c r="D133" i="1" s="1"/>
  <c r="D11" i="1" a="1"/>
  <c r="D11" i="1" s="1"/>
  <c r="D191" i="1" a="1"/>
  <c r="D191" i="1" s="1"/>
  <c r="D2" i="1" a="1"/>
  <c r="D2" i="1" s="1"/>
  <c r="D262" i="1"/>
  <c r="D244" i="1"/>
  <c r="D281" i="1"/>
  <c r="D114" i="1" a="1"/>
  <c r="D114" i="1" s="1"/>
  <c r="D111" i="1" a="1"/>
  <c r="D111" i="1" s="1"/>
  <c r="D10" i="1"/>
  <c r="D167" i="1" s="1" a="1"/>
  <c r="D149" i="1"/>
  <c r="C180" i="1" s="1" a="1"/>
  <c r="C180" i="1" s="1"/>
  <c r="E108" i="1" a="1"/>
  <c r="D85" i="1" a="1"/>
  <c r="D85" i="1" s="1"/>
  <c r="C170" i="1" a="1"/>
  <c r="C170" i="1" s="1"/>
  <c r="E136" i="1" a="1"/>
  <c r="D53" i="1" a="1"/>
  <c r="D72" i="1" a="1"/>
  <c r="D58" i="1" a="1"/>
  <c r="D66" i="1" a="1"/>
  <c r="E79" i="1" a="1"/>
  <c r="E79" i="1" s="1"/>
  <c r="D180" i="1" l="1" a="1"/>
  <c r="D180" i="1" s="1"/>
  <c r="D178" i="1" s="1" a="1"/>
  <c r="D170" i="1" a="1"/>
  <c r="D170" i="1" s="1"/>
  <c r="D199" i="1" s="1" a="1"/>
  <c r="D91" i="1" a="1"/>
  <c r="D91" i="1" s="1"/>
  <c r="D183" i="1" a="1"/>
  <c r="D183" i="1" s="1"/>
  <c r="D212" i="1" s="1" a="1"/>
  <c r="D176" i="1" a="1"/>
  <c r="D176" i="1" s="1"/>
  <c r="D175" i="1" s="1" a="1"/>
  <c r="D225" i="1" a="1"/>
  <c r="D225" i="1" s="1"/>
  <c r="D173" i="1" a="1"/>
  <c r="D173" i="1" s="1"/>
  <c r="D58" i="1"/>
  <c r="D239" i="1" a="1"/>
  <c r="D239" i="1" s="1"/>
  <c r="D257" i="1" a="1"/>
  <c r="D257" i="1" s="1"/>
  <c r="D285" i="1" s="1"/>
  <c r="R7" i="1"/>
  <c r="E136" i="1"/>
  <c r="E78" i="1" s="1" a="1"/>
  <c r="E78" i="1" s="1"/>
  <c r="D167" i="1"/>
  <c r="D196" i="1" s="1" a="1"/>
  <c r="E166" i="1" a="1"/>
  <c r="D72" i="1"/>
  <c r="R5" i="1" s="1" a="1"/>
  <c r="R5" i="1" s="1"/>
  <c r="D232" i="1" s="1"/>
  <c r="D53" i="1"/>
  <c r="D242" i="1" a="1"/>
  <c r="D242" i="1" s="1"/>
  <c r="D260" i="1" a="1"/>
  <c r="D260" i="1" s="1"/>
  <c r="D282" i="1" s="1"/>
  <c r="D283" i="1" s="1"/>
  <c r="R8" i="1"/>
  <c r="E108" i="1"/>
  <c r="E107" i="1" s="1" a="1"/>
  <c r="E107" i="1" s="1"/>
  <c r="D66" i="1"/>
  <c r="D120" i="1" a="1"/>
  <c r="D274" i="1" a="1"/>
  <c r="D274" i="1" l="1"/>
  <c r="D276" i="1" s="1"/>
  <c r="D279" i="1" s="1"/>
  <c r="D286" i="1"/>
  <c r="D209" i="1" a="1"/>
  <c r="D209" i="1" s="1"/>
  <c r="D207" i="1" s="1" a="1"/>
  <c r="D182" i="1" a="1"/>
  <c r="D182" i="1" s="1"/>
  <c r="D169" i="1" a="1"/>
  <c r="D169" i="1" s="1"/>
  <c r="D172" i="1" a="1"/>
  <c r="D172" i="1" s="1"/>
  <c r="D202" i="1" a="1"/>
  <c r="D202" i="1" s="1"/>
  <c r="D201" i="1" s="1" a="1"/>
  <c r="D68" i="1" a="1"/>
  <c r="D68" i="1" s="1"/>
  <c r="D116" i="1" a="1"/>
  <c r="D116" i="1" s="1"/>
  <c r="D110" i="1" a="1"/>
  <c r="D113" i="1" a="1"/>
  <c r="D113" i="1" s="1"/>
  <c r="D175" i="1"/>
  <c r="D199" i="1"/>
  <c r="D198" i="1" s="1" a="1"/>
  <c r="D196" i="1"/>
  <c r="E195" i="1" a="1"/>
  <c r="D120" i="1"/>
  <c r="D119" i="1" s="1" a="1"/>
  <c r="E166" i="1"/>
  <c r="E165" i="1" s="1" a="1"/>
  <c r="E165" i="1" s="1"/>
  <c r="D178" i="1"/>
  <c r="D212" i="1"/>
  <c r="D211" i="1" s="1" a="1"/>
  <c r="D205" i="1" a="1"/>
  <c r="D148" i="1" a="1"/>
  <c r="D287" i="1"/>
  <c r="D145" i="1" a="1"/>
  <c r="D142" i="1" a="1"/>
  <c r="D139" i="1" a="1"/>
  <c r="D288" i="1" l="1"/>
  <c r="N8" i="1" s="1"/>
  <c r="D8" i="1" s="1"/>
  <c r="D211" i="1"/>
  <c r="D198" i="1"/>
  <c r="D110" i="1"/>
  <c r="D142" i="1"/>
  <c r="D84" i="1" s="1" a="1"/>
  <c r="D84" i="1" s="1"/>
  <c r="D207" i="1"/>
  <c r="D119" i="1"/>
  <c r="E121" i="1" a="1"/>
  <c r="E121" i="1" s="1"/>
  <c r="D145" i="1"/>
  <c r="D87" i="1" s="1" a="1"/>
  <c r="D87" i="1" s="1"/>
  <c r="D148" i="1"/>
  <c r="D90" i="1" s="1" a="1"/>
  <c r="D90" i="1" s="1"/>
  <c r="E150" i="1" a="1"/>
  <c r="D205" i="1"/>
  <c r="D204" i="1" s="1" a="1"/>
  <c r="D201" i="1"/>
  <c r="D174" i="1" a="1"/>
  <c r="D174" i="1" s="1"/>
  <c r="D168" i="1" a="1"/>
  <c r="D171" i="1" a="1"/>
  <c r="D171" i="1" s="1"/>
  <c r="D177" i="1" a="1"/>
  <c r="D139" i="1"/>
  <c r="D152" i="1" s="1" a="1"/>
  <c r="E195" i="1"/>
  <c r="E194" i="1" s="1" a="1"/>
  <c r="E194" i="1" s="1"/>
  <c r="D123" i="1" l="1" a="1"/>
  <c r="D123" i="1" s="1"/>
  <c r="D126" i="1" s="1" a="1"/>
  <c r="D197" i="1" a="1"/>
  <c r="D197" i="1" s="1"/>
  <c r="D210" i="1" s="1" a="1"/>
  <c r="D200" i="1" a="1"/>
  <c r="D200" i="1" s="1"/>
  <c r="D204" i="1"/>
  <c r="D203" i="1" s="1" a="1"/>
  <c r="D203" i="1" s="1"/>
  <c r="D152" i="1"/>
  <c r="D94" i="1" s="1" a="1"/>
  <c r="D94" i="1" s="1"/>
  <c r="E150" i="1"/>
  <c r="E92" i="1" s="1" a="1"/>
  <c r="E92" i="1" s="1"/>
  <c r="D177" i="1"/>
  <c r="E179" i="1" a="1"/>
  <c r="E179" i="1" s="1"/>
  <c r="D168" i="1"/>
  <c r="D181" i="1" s="1" a="1"/>
  <c r="D206" i="1" a="1"/>
  <c r="D81" i="1" a="1"/>
  <c r="D155" i="1" l="1" a="1"/>
  <c r="D155" i="1" s="1"/>
  <c r="D126" i="1"/>
  <c r="D127" i="1" s="1" a="1"/>
  <c r="D127" i="1" s="1"/>
  <c r="E208" i="1" a="1"/>
  <c r="E208" i="1" s="1"/>
  <c r="D206" i="1"/>
  <c r="D210" i="1"/>
  <c r="D213" i="1" s="1" a="1"/>
  <c r="D181" i="1"/>
  <c r="D184" i="1" s="1" a="1"/>
  <c r="D81" i="1"/>
  <c r="D233" i="1" s="1" a="1"/>
  <c r="D233" i="1" s="1"/>
  <c r="D234" i="1" s="1"/>
  <c r="D235" i="1" s="1"/>
  <c r="D156" i="1" l="1" a="1"/>
  <c r="D156" i="1" s="1"/>
  <c r="D98" i="1" s="1" a="1"/>
  <c r="D98" i="1" s="1"/>
  <c r="D97" i="1" a="1"/>
  <c r="D97" i="1" s="1"/>
  <c r="D158" i="1" a="1"/>
  <c r="D158" i="1" s="1"/>
  <c r="D159" i="1" s="1" a="1"/>
  <c r="D129" i="1" a="1"/>
  <c r="D129" i="1" s="1"/>
  <c r="D130" i="1" s="1" a="1"/>
  <c r="D130" i="1" s="1"/>
  <c r="D184" i="1"/>
  <c r="D185" i="1" s="1" a="1"/>
  <c r="D185" i="1" s="1"/>
  <c r="D213" i="1"/>
  <c r="D214" i="1" s="1" a="1"/>
  <c r="D214" i="1" s="1"/>
  <c r="D187" i="1" l="1" a="1"/>
  <c r="D187" i="1" s="1"/>
  <c r="D188" i="1" s="1" a="1"/>
  <c r="D188" i="1" s="1"/>
  <c r="D100" i="1" a="1"/>
  <c r="D100" i="1" s="1"/>
  <c r="D159" i="1"/>
  <c r="D101" i="1" s="1" a="1"/>
  <c r="D101" i="1" s="1"/>
  <c r="D216" i="1" a="1"/>
  <c r="D216" i="1" s="1"/>
  <c r="D217" i="1" s="1" a="1"/>
  <c r="D217" i="1" s="1"/>
  <c r="D224" i="1" l="1" a="1"/>
  <c r="D224" i="1" s="1"/>
  <c r="D251" i="1" s="1" a="1"/>
  <c r="D251" i="1" s="1"/>
  <c r="D252" i="1" s="1"/>
  <c r="D253" i="1" s="1"/>
  <c r="D227" i="1" l="1" a="1"/>
  <c r="D227" i="1" s="1"/>
  <c r="D254" i="1" s="1" a="1"/>
  <c r="D254" i="1" s="1"/>
  <c r="D256" i="1" s="1"/>
  <c r="D258" i="1" s="1"/>
  <c r="D261" i="1" s="1"/>
  <c r="D236" i="1" l="1" a="1"/>
  <c r="D236" i="1" s="1"/>
  <c r="D238" i="1" s="1"/>
  <c r="D240" i="1" s="1"/>
  <c r="D243" i="1" s="1"/>
  <c r="D245" i="1" s="1"/>
  <c r="O6" i="1" s="1"/>
  <c r="D263" i="1"/>
  <c r="O7" i="1" s="1"/>
  <c r="H251" i="1"/>
  <c r="N7" i="1"/>
  <c r="H233" i="1" l="1"/>
  <c r="N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<sst xmlns="http://schemas.openxmlformats.org/spreadsheetml/2006/main" count="27" uniqueCount="27">
  <si>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Last (Delayed)</t>
  </si>
  <si>
    <t>Market Data</t>
  </si>
  <si>
    <t>Median</t>
  </si>
  <si>
    <t>Revenue</t>
  </si>
  <si>
    <t>EBITDA</t>
  </si>
  <si>
    <t>EBIT</t>
  </si>
  <si>
    <t>Minimum</t>
  </si>
  <si>
    <t>Maximum</t>
  </si>
  <si>
    <t>Trading Comparables</t>
  </si>
  <si>
    <t>Company</t>
  </si>
  <si>
    <t>Ticker</t>
  </si>
  <si>
    <t>Period End</t>
  </si>
  <si>
    <t>Valuation Multiples</t>
  </si>
  <si>
    <t>Book Value
Per Share</t>
  </si>
  <si>
    <t>P/BV (x)</t>
  </si>
  <si>
    <t>Share Price</t>
  </si>
  <si>
    <t>EV / EBITDA
(x)</t>
  </si>
  <si>
    <t>P/E (x)</t>
  </si>
  <si>
    <t>Mean</t>
  </si>
  <si>
    <t>Market Cap</t>
  </si>
  <si>
    <t>Total Debt</t>
  </si>
  <si>
    <t>Capital Structure</t>
  </si>
  <si>
    <t>Income Statement</t>
  </si>
  <si>
    <t>Net Income</t>
  </si>
  <si>
    <t>Enterprise
Value</t>
  </si>
  <si>
    <t>Minority
Interest</t>
  </si>
  <si>
    <t>Diluted 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</si>
</sst>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8" formatCode="&quot;$&quot;#,##0.00_);[Red]\(&quot;$&quot;#,##0.00\)"/>
    <numFmt numFmtId="164" formatCode="_(#,##0_);_(\(#,##0\);_(&quot; - &quot;_);_(@_)"/>
    <numFmt numFmtId="165" formatCode="_(#,##0.0%_);_(\(#,##0.0%\)"/>
    <numFmt numFmtId="166" formatCode="m/d/yyyy_)"/>
    <numFmt numFmtId="167" formatCode="_(#,##0.0%_);[Red]_(\(#,##0.0%\)"/>
    <numFmt numFmtId="168" formatCode="_(#,##0.0_);_(\(#,##0.0\);_(&quot; - &quot;_);_(@_)"/>
    <numFmt numFmtId="169" formatCode="_(#,##0.0\x_);_(\(#,##0.0\x\);_(&quot; - &quot;_);_(@_)"/>
    <numFmt numFmtId="170" formatCode="0\A_)"/>
    <numFmt numFmtId="171" formatCode="0\E_)"/>
    <numFmt numFmtId="172" formatCode="_(_(#,##0.0%_);_(\(#,##0.0%\)"/>
    <numFmt numFmtId="173" formatCode="_(#,##0.00_);_(\(#,##0.00\);_(&quot; - &quot;_);_(@_)"/>
    <numFmt numFmtId="181" formatCode="\$#,##0.00"/>
    <numFmt numFmtId="182" formatCode="0.0\x"/>
    <numFmt numFmtId="185" formatCode="mmm\ yyyy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</font>
    <font>
      <sz val="11"/>
      <color rgb="FF0000FF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1"/>
      <color rgb="FF8B5E00"/>
      <name val="Calibri"/>
      <family val="2"/>
      <scheme val="minor"/>
    </font>
    <font>
      <sz val="11"/>
      <color rgb="FF8B5E00"/>
      <name val="Calibri"/>
      <family val="2"/>
      <scheme val="minor"/>
    </font>
    <font>
      <b/>
      <sz val="11"/>
      <color rgb="FF1B2A4A"/>
      <name val="Calibri"/>
      <family val="2"/>
      <scheme val="minor"/>
    </font>
    <font>
      <sz val="11"/>
      <color rgb="FF1B2A4A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rgb="FFFFF8EC"/>
      </patternFill>
    </fill>
    <fill>
      <patternFill patternType="solid">
        <fgColor rgb="FFF5F5F5"/>
        <bgColor rgb="FFF0F7F0"/>
      </patternFill>
    </fill>
    <fill>
      <patternFill patternType="solid">
        <fgColor rgb="FFFFF8E7"/>
        <bgColor rgb="FFFFF8EC"/>
      </patternFill>
    </fill>
    <fill>
      <patternFill patternType="solid">
        <fgColor rgb="FFE6F4F7"/>
        <bgColor rgb="FFEEF3FB"/>
      </patternFill>
    </fill>
    <fill>
      <patternFill patternType="solid">
        <fgColor theme="0" tint="-0.499984740745262"/>
        <bgColor rgb="FF003366"/>
      </patternFill>
    </fill>
    <fill>
      <patternFill patternType="solid">
        <fgColor theme="0" tint="-0.249977111117893"/>
        <bgColor rgb="FF008080"/>
      </patternFill>
    </fill>
    <fill>
      <patternFill patternType="solid">
        <fgColor theme="0" tint="-0.34998626667073579"/>
        <bgColor rgb="FF003366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rgb="FFC8A951"/>
      </top>
      <bottom style="thin">
        <color rgb="FFD9D9D9"/>
      </bottom>
      <diagonal/>
    </border>
    <border>
      <left style="thin">
        <color rgb="FFB0C4D8"/>
      </left>
      <right style="thin">
        <color rgb="FFB0C4D8"/>
      </right>
      <top style="thin">
        <color rgb="FFB0C4D8"/>
      </top>
      <bottom style="thin">
        <color rgb="FFB0C4D8"/>
      </bottom>
      <diagonal/>
    </border>
    <border>
      <left style="thin">
        <color rgb="FFB0C4D8"/>
      </left>
      <right/>
      <top style="thin">
        <color rgb="FFB0C4D8"/>
      </top>
      <bottom style="thin">
        <color rgb="FFB0C4D8"/>
      </bottom>
      <diagonal/>
    </border>
    <border>
      <left/>
      <right/>
      <top style="thin">
        <color rgb="FFB0C4D8"/>
      </top>
      <bottom style="thin">
        <color rgb="FFB0C4D8"/>
      </bottom>
      <diagonal/>
    </border>
    <border>
      <left/>
      <right style="thin">
        <color rgb="FFB0C4D8"/>
      </right>
      <top style="thin">
        <color rgb="FFB0C4D8"/>
      </top>
      <bottom style="thin">
        <color rgb="FFB0C4D8"/>
      </bottom>
      <diagonal/>
    </border>
  </borders>
  <cellStyleXfs count="3">
    <xf numFmtId="0" fontId="0" fillId="0" borderId="0"/>
    <xf numFmtId="0" fontId="7" fillId="0" borderId="0"/>
    <xf numFmtId="0" fontId="15" fillId="0" borderId="0"/>
  </cellStyleXfs>
  <cellXfs count="122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164" fontId="4" fillId="0" borderId="0" xfId="0" applyNumberFormat="1" applyFont="1"/>
    <xf numFmtId="164" fontId="5" fillId="2" borderId="0" xfId="0" applyNumberFormat="1" applyFont="1" applyFill="1"/>
    <xf numFmtId="165" fontId="0" fillId="0" borderId="0" xfId="0" applyNumberFormat="1"/>
    <xf numFmtId="164" fontId="0" fillId="0" borderId="0" xfId="0" applyNumberFormat="1" applyAlignment="1">
      <alignment horizontal="right"/>
    </xf>
    <xf numFmtId="164" fontId="1" fillId="3" borderId="0" xfId="0" applyNumberFormat="1" applyFont="1" applyFill="1" applyAlignment="1">
      <alignment horizontal="right"/>
    </xf>
    <xf numFmtId="166" fontId="4" fillId="0" borderId="0" xfId="0" applyNumberFormat="1" applyFont="1"/>
    <xf numFmtId="165" fontId="0" fillId="0" borderId="0" xfId="0" applyNumberFormat="1" applyAlignment="1">
      <alignment horizontal="left" indent="1"/>
    </xf>
    <xf numFmtId="164" fontId="1" fillId="4" borderId="0" xfId="0" applyNumberFormat="1" applyFont="1" applyFill="1" applyAlignment="1">
      <alignment horizontal="right"/>
    </xf>
    <xf numFmtId="164" fontId="3" fillId="0" borderId="0" xfId="0" applyNumberFormat="1" applyFont="1"/>
    <xf numFmtId="165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165" fontId="3" fillId="0" borderId="0" xfId="0" applyNumberFormat="1" applyFont="1"/>
    <xf numFmtId="164" fontId="10" fillId="0" borderId="0" xfId="0" applyNumberFormat="1" applyFont="1"/>
    <xf numFmtId="164" fontId="11" fillId="0" borderId="0" xfId="0" applyNumberFormat="1" applyFont="1"/>
    <xf numFmtId="164" fontId="10" fillId="0" borderId="0" xfId="0" applyNumberFormat="1" applyFont="1" applyAlignment="1">
      <alignment horizontal="right"/>
    </xf>
    <xf numFmtId="164" fontId="10" fillId="5" borderId="1" xfId="0" applyNumberFormat="1" applyFont="1" applyFill="1" applyBorder="1" applyAlignment="1">
      <alignment horizontal="center"/>
    </xf>
    <xf numFmtId="164" fontId="13" fillId="0" borderId="0" xfId="0" applyNumberFormat="1" applyFont="1"/>
    <xf numFmtId="165" fontId="3" fillId="0" borderId="0" xfId="0" applyNumberFormat="1" applyFont="1" applyAlignment="1">
      <alignment horizontal="right"/>
    </xf>
    <xf numFmtId="167" fontId="0" fillId="0" borderId="0" xfId="0" applyNumberFormat="1"/>
    <xf numFmtId="164" fontId="3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4" fontId="10" fillId="4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 indent="1"/>
    </xf>
    <xf numFmtId="168" fontId="0" fillId="0" borderId="0" xfId="0" applyNumberFormat="1"/>
    <xf numFmtId="168" fontId="0" fillId="0" borderId="0" xfId="0" applyNumberFormat="1" applyAlignment="1">
      <alignment horizontal="left" indent="1"/>
    </xf>
    <xf numFmtId="169" fontId="0" fillId="0" borderId="0" xfId="0" applyNumberFormat="1"/>
    <xf numFmtId="8" fontId="0" fillId="0" borderId="0" xfId="0" applyNumberFormat="1"/>
    <xf numFmtId="164" fontId="17" fillId="0" borderId="0" xfId="2" applyNumberFormat="1" applyFont="1"/>
    <xf numFmtId="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0" fontId="8" fillId="6" borderId="1" xfId="0" applyNumberFormat="1" applyFont="1" applyFill="1" applyBorder="1" applyAlignment="1" applyProtection="1">
      <alignment horizontal="center"/>
      <protection locked="0"/>
    </xf>
    <xf numFmtId="171" fontId="8" fillId="6" borderId="1" xfId="0" applyNumberFormat="1" applyFont="1" applyFill="1" applyBorder="1" applyAlignment="1" applyProtection="1">
      <alignment horizontal="center"/>
      <protection locked="0"/>
    </xf>
    <xf numFmtId="172" fontId="8" fillId="6" borderId="0" xfId="0" applyNumberFormat="1" applyFont="1" applyFill="1" applyAlignment="1" applyProtection="1">
      <alignment horizontal="right"/>
      <protection locked="0"/>
    </xf>
    <xf numFmtId="8" fontId="18" fillId="0" borderId="0" xfId="0" applyNumberFormat="1" applyFont="1" applyAlignment="1" applyProtection="1">
      <alignment horizontal="left"/>
      <protection locked="0"/>
    </xf>
    <xf numFmtId="169" fontId="8" fillId="0" borderId="0" xfId="0" applyNumberFormat="1" applyFont="1" applyProtection="1">
      <protection locked="0"/>
    </xf>
    <xf numFmtId="165" fontId="8" fillId="0" borderId="0" xfId="0" applyNumberFormat="1" applyFont="1" applyProtection="1">
      <protection locked="0"/>
    </xf>
    <xf numFmtId="164" fontId="16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4" fontId="3" fillId="0" borderId="0" xfId="0" applyNumberFormat="1" applyFont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left" indent="1"/>
      <protection locked="0"/>
    </xf>
    <xf numFmtId="165" fontId="0" fillId="0" borderId="0" xfId="0" applyNumberFormat="1" applyAlignment="1" applyProtection="1">
      <alignment horizontal="right"/>
      <protection locked="0"/>
    </xf>
    <xf numFmtId="167" fontId="3" fillId="0" borderId="0" xfId="0" applyNumberFormat="1" applyFont="1" applyAlignment="1" applyProtection="1">
      <alignment horizontal="right"/>
      <protection locked="0"/>
    </xf>
    <xf numFmtId="165" fontId="3" fillId="0" borderId="0" xfId="0" applyNumberFormat="1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165" fontId="3" fillId="0" borderId="0" xfId="0" applyNumberFormat="1" applyFont="1" applyProtection="1">
      <protection locked="0"/>
    </xf>
    <xf numFmtId="164" fontId="10" fillId="0" borderId="0" xfId="0" applyNumberFormat="1" applyFont="1" applyProtection="1">
      <protection locked="0"/>
    </xf>
    <xf numFmtId="164" fontId="10" fillId="0" borderId="0" xfId="0" applyNumberFormat="1" applyFont="1" applyAlignment="1" applyProtection="1">
      <alignment horizontal="right"/>
      <protection locked="0"/>
    </xf>
    <xf numFmtId="173" fontId="0" fillId="0" borderId="0" xfId="0" applyNumberFormat="1" applyProtection="1">
      <protection locked="0"/>
    </xf>
    <xf numFmtId="165" fontId="16" fillId="0" borderId="0" xfId="0" applyNumberFormat="1" applyFont="1" applyProtection="1">
      <protection locked="0"/>
    </xf>
    <xf numFmtId="165" fontId="0" fillId="0" borderId="4" xfId="0" applyNumberFormat="1" applyBorder="1" applyProtection="1">
      <protection locked="0"/>
    </xf>
    <xf numFmtId="166" fontId="10" fillId="0" borderId="0" xfId="0" applyNumberFormat="1" applyFont="1" applyProtection="1">
      <protection locked="0"/>
    </xf>
    <xf numFmtId="165" fontId="10" fillId="0" borderId="0" xfId="0" applyNumberFormat="1" applyFont="1" applyProtection="1">
      <protection locked="0"/>
    </xf>
    <xf numFmtId="8" fontId="10" fillId="0" borderId="0" xfId="0" applyNumberFormat="1" applyFont="1" applyProtection="1">
      <protection locked="0"/>
    </xf>
    <xf numFmtId="172" fontId="10" fillId="0" borderId="0" xfId="0" applyNumberFormat="1" applyFont="1" applyAlignment="1" applyProtection="1">
      <alignment horizontal="left"/>
      <protection locked="0"/>
    </xf>
    <xf numFmtId="164" fontId="11" fillId="0" borderId="0" xfId="0" applyNumberFormat="1" applyFont="1" applyProtection="1">
      <protection locked="0"/>
    </xf>
    <xf numFmtId="164" fontId="12" fillId="0" borderId="0" xfId="0" applyNumberFormat="1" applyFont="1" applyProtection="1">
      <protection locked="0"/>
    </xf>
    <xf numFmtId="164" fontId="1" fillId="0" borderId="0" xfId="0" applyNumberFormat="1" applyFont="1" applyAlignment="1" applyProtection="1">
      <alignment horizontal="right"/>
      <protection locked="0"/>
    </xf>
    <xf numFmtId="166" fontId="4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6" fontId="9" fillId="0" borderId="0" xfId="0" applyNumberFormat="1" applyFont="1" applyProtection="1">
      <protection locked="0"/>
    </xf>
    <xf numFmtId="168" fontId="3" fillId="0" borderId="0" xfId="0" applyNumberFormat="1" applyFont="1" applyProtection="1">
      <protection locked="0"/>
    </xf>
    <xf numFmtId="164" fontId="1" fillId="4" borderId="0" xfId="0" applyNumberFormat="1" applyFont="1" applyFill="1" applyAlignment="1" applyProtection="1">
      <alignment horizontal="right"/>
      <protection locked="0"/>
    </xf>
    <xf numFmtId="164" fontId="2" fillId="4" borderId="0" xfId="0" applyNumberFormat="1" applyFont="1" applyFill="1" applyAlignment="1" applyProtection="1">
      <alignment horizontal="right"/>
      <protection locked="0"/>
    </xf>
    <xf numFmtId="164" fontId="1" fillId="3" borderId="0" xfId="0" applyNumberFormat="1" applyFont="1" applyFill="1" applyAlignment="1" applyProtection="1">
      <alignment horizontal="right"/>
      <protection locked="0"/>
    </xf>
    <xf numFmtId="164" fontId="2" fillId="3" borderId="0" xfId="0" applyNumberFormat="1" applyFont="1" applyFill="1" applyAlignment="1" applyProtection="1">
      <alignment horizontal="right"/>
      <protection locked="0"/>
    </xf>
    <xf numFmtId="164" fontId="6" fillId="2" borderId="0" xfId="0" applyNumberFormat="1" applyFont="1" applyFill="1" applyProtection="1">
      <protection locked="0"/>
    </xf>
    <xf numFmtId="164" fontId="14" fillId="2" borderId="0" xfId="0" applyNumberFormat="1" applyFont="1" applyFill="1"/>
    <xf numFmtId="169" fontId="10" fillId="4" borderId="4" xfId="0" applyNumberFormat="1" applyFont="1" applyFill="1" applyBorder="1" applyProtection="1">
      <protection locked="0"/>
    </xf>
    <xf numFmtId="165" fontId="10" fillId="4" borderId="2" xfId="0" applyNumberFormat="1" applyFont="1" applyFill="1" applyBorder="1" applyProtection="1">
      <protection locked="0"/>
    </xf>
    <xf numFmtId="8" fontId="10" fillId="0" borderId="3" xfId="0" applyNumberFormat="1" applyFont="1" applyBorder="1"/>
    <xf numFmtId="8" fontId="10" fillId="0" borderId="4" xfId="0" applyNumberFormat="1" applyFont="1" applyBorder="1"/>
    <xf numFmtId="8" fontId="10" fillId="0" borderId="2" xfId="0" applyNumberFormat="1" applyFont="1" applyBorder="1"/>
    <xf numFmtId="8" fontId="10" fillId="0" borderId="0" xfId="0" applyNumberFormat="1" applyFont="1"/>
    <xf numFmtId="167" fontId="10" fillId="4" borderId="4" xfId="0" applyNumberFormat="1" applyFont="1" applyFill="1" applyBorder="1" applyProtection="1">
      <protection locked="0"/>
    </xf>
    <xf numFmtId="8" fontId="19" fillId="4" borderId="3" xfId="0" applyNumberFormat="1" applyFont="1" applyFill="1" applyBorder="1"/>
    <xf numFmtId="164" fontId="0" fillId="0" borderId="0" xfId="0" applyNumberFormat="1" applyAlignment="1">
      <alignment horizontal="right" wrapText="1"/>
    </xf>
    <xf numFmtId="165" fontId="0" fillId="0" borderId="0" xfId="0" applyNumberFormat="1" applyAlignment="1">
      <alignment horizontal="right" wrapText="1"/>
    </xf>
    <xf numFmtId="164" fontId="0" fillId="0" borderId="0" xfId="0" applyNumberFormat="1" applyAlignment="1" applyProtection="1">
      <alignment horizontal="right" wrapText="1"/>
      <protection locked="0"/>
    </xf>
    <xf numFmtId="166" fontId="4" fillId="0" borderId="0" xfId="0" applyNumberFormat="1" applyFont="1" applyAlignment="1">
      <alignment wrapText="1"/>
    </xf>
    <xf numFmtId="168" fontId="0" fillId="0" borderId="0" xfId="0" applyNumberFormat="1" applyAlignment="1">
      <alignment wrapText="1"/>
    </xf>
    <xf numFmtId="173" fontId="0" fillId="0" borderId="0" xfId="0" applyNumberFormat="1" applyAlignment="1">
      <alignment wrapText="1"/>
    </xf>
    <xf numFmtId="164" fontId="0" fillId="0" borderId="0" xfId="0" applyNumberFormat="1" applyFont="1" applyProtection="1">
      <protection locked="0"/>
    </xf>
    <xf numFmtId="164" fontId="0" fillId="0" borderId="0" xfId="0" applyNumberFormat="1" applyFont="1"/>
    <xf numFmtId="0" fontId="16" fillId="7" borderId="5" xfId="0" applyFont="1" applyFill="1" applyBorder="1" applyAlignment="1">
      <alignment horizontal="left" vertical="center"/>
    </xf>
    <xf numFmtId="0" fontId="24" fillId="7" borderId="5" xfId="0" applyFont="1" applyFill="1" applyBorder="1" applyAlignment="1">
      <alignment horizontal="center" vertical="center"/>
    </xf>
    <xf numFmtId="181" fontId="16" fillId="7" borderId="5" xfId="0" applyNumberFormat="1" applyFont="1" applyFill="1" applyBorder="1" applyAlignment="1">
      <alignment horizontal="center" vertical="center"/>
    </xf>
    <xf numFmtId="3" fontId="16" fillId="7" borderId="5" xfId="0" applyNumberFormat="1" applyFont="1" applyFill="1" applyBorder="1" applyAlignment="1">
      <alignment horizontal="center" vertical="center"/>
    </xf>
    <xf numFmtId="182" fontId="16" fillId="7" borderId="5" xfId="0" applyNumberFormat="1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left" vertical="center"/>
    </xf>
    <xf numFmtId="0" fontId="24" fillId="8" borderId="5" xfId="0" applyFont="1" applyFill="1" applyBorder="1" applyAlignment="1">
      <alignment horizontal="center" vertical="center"/>
    </xf>
    <xf numFmtId="181" fontId="16" fillId="8" borderId="5" xfId="0" applyNumberFormat="1" applyFont="1" applyFill="1" applyBorder="1" applyAlignment="1">
      <alignment horizontal="center" vertical="center"/>
    </xf>
    <xf numFmtId="3" fontId="16" fillId="8" borderId="5" xfId="0" applyNumberFormat="1" applyFont="1" applyFill="1" applyBorder="1" applyAlignment="1">
      <alignment horizontal="center" vertical="center"/>
    </xf>
    <xf numFmtId="182" fontId="16" fillId="8" borderId="5" xfId="0" applyNumberFormat="1" applyFont="1" applyFill="1" applyBorder="1" applyAlignment="1">
      <alignment horizontal="center" vertical="center"/>
    </xf>
    <xf numFmtId="0" fontId="25" fillId="9" borderId="6" xfId="0" applyFont="1" applyFill="1" applyBorder="1" applyAlignment="1">
      <alignment horizontal="left" vertical="center"/>
    </xf>
    <xf numFmtId="0" fontId="24" fillId="9" borderId="6" xfId="0" applyFont="1" applyFill="1" applyBorder="1" applyAlignment="1">
      <alignment horizontal="center" vertical="center"/>
    </xf>
    <xf numFmtId="181" fontId="25" fillId="9" borderId="6" xfId="0" applyNumberFormat="1" applyFont="1" applyFill="1" applyBorder="1" applyAlignment="1">
      <alignment horizontal="center" vertical="center"/>
    </xf>
    <xf numFmtId="3" fontId="25" fillId="9" borderId="6" xfId="0" applyNumberFormat="1" applyFont="1" applyFill="1" applyBorder="1" applyAlignment="1">
      <alignment horizontal="center" vertical="center"/>
    </xf>
    <xf numFmtId="3" fontId="26" fillId="9" borderId="6" xfId="0" applyNumberFormat="1" applyFont="1" applyFill="1" applyBorder="1" applyAlignment="1">
      <alignment horizontal="center" vertical="center"/>
    </xf>
    <xf numFmtId="182" fontId="25" fillId="9" borderId="6" xfId="0" applyNumberFormat="1" applyFont="1" applyFill="1" applyBorder="1" applyAlignment="1">
      <alignment horizontal="center" vertical="center"/>
    </xf>
    <xf numFmtId="182" fontId="26" fillId="9" borderId="6" xfId="0" applyNumberFormat="1" applyFont="1" applyFill="1" applyBorder="1" applyAlignment="1">
      <alignment horizontal="center" vertical="center"/>
    </xf>
    <xf numFmtId="181" fontId="26" fillId="9" borderId="6" xfId="0" applyNumberFormat="1" applyFont="1" applyFill="1" applyBorder="1" applyAlignment="1">
      <alignment horizontal="center" vertical="center"/>
    </xf>
    <xf numFmtId="181" fontId="28" fillId="10" borderId="7" xfId="0" applyNumberFormat="1" applyFont="1" applyFill="1" applyBorder="1" applyAlignment="1">
      <alignment horizontal="center" vertical="center"/>
    </xf>
    <xf numFmtId="3" fontId="28" fillId="10" borderId="7" xfId="0" applyNumberFormat="1" applyFont="1" applyFill="1" applyBorder="1" applyAlignment="1">
      <alignment horizontal="center" vertical="center"/>
    </xf>
    <xf numFmtId="182" fontId="27" fillId="10" borderId="7" xfId="0" applyNumberFormat="1" applyFont="1" applyFill="1" applyBorder="1" applyAlignment="1">
      <alignment horizontal="center" vertical="center"/>
    </xf>
    <xf numFmtId="182" fontId="28" fillId="10" borderId="7" xfId="0" applyNumberFormat="1" applyFont="1" applyFill="1" applyBorder="1" applyAlignment="1">
      <alignment horizontal="center" vertical="center"/>
    </xf>
    <xf numFmtId="0" fontId="23" fillId="11" borderId="0" xfId="0" applyFont="1" applyFill="1" applyAlignment="1">
      <alignment horizontal="center" vertical="center" wrapText="1"/>
    </xf>
    <xf numFmtId="0" fontId="23" fillId="11" borderId="0" xfId="0" applyFont="1" applyFill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0" fontId="27" fillId="10" borderId="8" xfId="0" applyFont="1" applyFill="1" applyBorder="1" applyAlignment="1">
      <alignment horizontal="left" vertical="center"/>
    </xf>
    <xf numFmtId="0" fontId="27" fillId="10" borderId="9" xfId="0" applyFont="1" applyFill="1" applyBorder="1" applyAlignment="1">
      <alignment horizontal="left" vertical="center"/>
    </xf>
    <xf numFmtId="0" fontId="27" fillId="10" borderId="10" xfId="0" applyFont="1" applyFill="1" applyBorder="1" applyAlignment="1">
      <alignment horizontal="left" vertical="center"/>
    </xf>
    <xf numFmtId="0" fontId="29" fillId="13" borderId="0" xfId="0" applyFont="1" applyFill="1" applyAlignment="1">
      <alignment horizontal="center"/>
    </xf>
    <xf numFmtId="185" fontId="16" fillId="7" borderId="5" xfId="0" applyNumberFormat="1" applyFont="1" applyFill="1" applyBorder="1" applyAlignment="1">
      <alignment horizontal="center" vertical="center"/>
    </xf>
    <xf numFmtId="185" fontId="16" fillId="8" borderId="5" xfId="0" applyNumberFormat="1" applyFont="1" applyFill="1" applyBorder="1" applyAlignment="1">
      <alignment horizontal="center" vertical="center"/>
    </xf>
    <xf numFmtId="185" fontId="26" fillId="9" borderId="6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Array" Target="richData/rdarray.xml"/><Relationship Id="rId13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SupportingPropertyBag" Target="richData/rdsupportingpropertybag.xml"/><Relationship Id="rId5" Type="http://schemas.openxmlformats.org/officeDocument/2006/relationships/sheetMetadata" Target="metadata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haredStrings" Target="sharedString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7</xdr:col>
          <xdr:colOff>0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F4FD002C-6AA0-3CA1-FC55-D95204C0E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this </a:t>
              </a: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to Load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</a:t>
              </a:r>
              <a:r>
                <a:rPr lang="en-US" sz="10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after a few seconds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751">
    <v t="i">0</v>
    <v t="i">3</v>
    <v t="i">4</v>
    <v t="i">5</v>
    <v t="i">6</v>
    <v t="i">7</v>
    <v t="i">10</v>
    <v t="i">11</v>
    <v t="i">12</v>
    <v t="i">13</v>
    <v t="i">17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45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88</v>
    <v t="i">89</v>
    <v t="i">90</v>
    <v t="i">91</v>
    <v t="i">94</v>
    <v t="i">95</v>
    <v t="i">96</v>
    <v t="i">97</v>
    <v t="i">98</v>
    <v t="i">101</v>
    <v t="i">103</v>
    <v t="i">104</v>
    <v t="i">105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143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165</v>
    <v t="i">166</v>
    <v t="i">167</v>
    <v t="i">168</v>
    <v t="i">171</v>
    <v t="i">172</v>
    <v t="i">173</v>
    <v t="i">174</v>
    <v t="i">175</v>
    <v t="i">178</v>
    <v t="i">179</v>
    <v t="i">180</v>
    <v t="i">181</v>
    <v t="i">182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  <v t="i">228</v>
    <v t="i">229</v>
    <v t="i">230</v>
    <v t="i">231</v>
    <v t="i">234</v>
    <v t="i">235</v>
    <v t="i">236</v>
    <v t="i">237</v>
    <v t="i">238</v>
    <v t="i">241</v>
    <v t="i">242</v>
    <v t="i">243</v>
    <v t="i">245</v>
    <v t="i">248</v>
    <v t="i">249</v>
    <v t="i">250</v>
    <v t="i">251</v>
    <v t="i">252</v>
    <v t="i">255</v>
    <v t="i">256</v>
    <v t="i">257</v>
    <v t="i">258</v>
    <v t="i">259</v>
    <v t="i">262</v>
    <v t="i">263</v>
    <v t="i">264</v>
    <v t="i">265</v>
    <v t="i">266</v>
    <v t="i">269</v>
    <v t="i">270</v>
    <v t="i">271</v>
    <v t="i">272</v>
    <v t="i">273</v>
    <v t="i">277</v>
    <v t="i">278</v>
    <v t="i">279</v>
    <v t="i">280</v>
    <v t="i">284</v>
    <v t="i">285</v>
    <v t="i">286</v>
    <v t="i">287</v>
    <v t="i">290</v>
    <v t="i">291</v>
    <v t="i">292</v>
    <v t="i">293</v>
    <v t="i">294</v>
    <v t="i">298</v>
    <v t="i">299</v>
    <v t="i">300</v>
    <v t="i">301</v>
    <v t="i">304</v>
    <v t="i">305</v>
    <v t="i">306</v>
    <v t="i">307</v>
    <v t="i">308</v>
    <v t="i">311</v>
    <v t="i">312</v>
    <v t="i">313</v>
    <v t="i">314</v>
    <v t="i">315</v>
    <v t="i">318</v>
    <v t="i">319</v>
    <v t="i">320</v>
    <v t="i">321</v>
    <v t="i">322</v>
    <v t="i">325</v>
    <v t="i">326</v>
    <v t="i">327</v>
    <v t="i">328</v>
    <v t="i">329</v>
    <v t="i">333</v>
    <v t="i">334</v>
    <v t="i">335</v>
    <v t="i">336</v>
    <v t="i">339</v>
    <v t="i">340</v>
    <v t="i">341</v>
    <v t="i">342</v>
    <v t="i">343</v>
    <v t="i">346</v>
    <v t="i">347</v>
    <v t="i">348</v>
    <v t="i">349</v>
    <v t="i">350</v>
    <v t="i">353</v>
    <v t="i">354</v>
    <v t="i">355</v>
    <v t="i">356</v>
    <v t="i">357</v>
    <v t="i">360</v>
    <v t="i">361</v>
    <v t="i">362</v>
    <v t="i">363</v>
    <v t="i">364</v>
    <v t="i">367</v>
    <v t="i">368</v>
    <v t="i">369</v>
    <v t="i">370</v>
    <v t="i">374</v>
    <v t="i">375</v>
    <v t="i">376</v>
    <v t="i">377</v>
    <v t="i">378</v>
    <v t="i">381</v>
    <v t="i">382</v>
    <v t="i">383</v>
    <v t="i">384</v>
    <v t="i">385</v>
    <v t="i">388</v>
    <v t="i">389</v>
    <v t="i">390</v>
    <v t="i">391</v>
    <v t="i">392</v>
    <v t="i">395</v>
    <v t="i">396</v>
    <v t="i">397</v>
    <v t="i">398</v>
    <v t="i">399</v>
    <v t="i">402</v>
    <v t="i">403</v>
    <v t="i">404</v>
    <v t="i">405</v>
    <v t="i">406</v>
    <v t="i">409</v>
    <v t="i">410</v>
    <v t="i">411</v>
    <v t="i">412</v>
    <v t="i">413</v>
    <v t="i">416</v>
    <v t="i">417</v>
    <v t="i">418</v>
    <v t="i">419</v>
    <v t="i">420</v>
    <v t="i">423</v>
    <v t="i">424</v>
    <v t="i">425</v>
    <v t="i">426</v>
    <v t="i">427</v>
    <v t="i">431</v>
    <v t="i">432</v>
    <v t="i">433</v>
    <v t="i">434</v>
    <v t="i">437</v>
    <v t="i">438</v>
    <v t="i">439</v>
    <v t="i">440</v>
    <v t="i">441</v>
    <v t="i">444</v>
    <v t="i">445</v>
    <v t="i">446</v>
    <v t="i">447</v>
    <v t="i">448</v>
    <v t="i">451</v>
    <v t="i">452</v>
    <v t="i">454</v>
    <v t="i">455</v>
    <v t="i">458</v>
    <v t="i">459</v>
    <v t="i">460</v>
    <v t="i">461</v>
    <v t="i">462</v>
    <v t="i">465</v>
    <v t="i">466</v>
    <v t="i">467</v>
    <v t="i">469</v>
    <v t="i">472</v>
    <v t="i">473</v>
    <v t="i">474</v>
    <v t="i">475</v>
    <v t="i">476</v>
    <v t="i">479</v>
    <v t="i">480</v>
    <v t="i">481</v>
    <v t="i">482</v>
    <v t="i">483</v>
    <v t="i">486</v>
    <v t="i">487</v>
    <v t="i">488</v>
    <v t="i">489</v>
    <v t="i">490</v>
    <v t="i">493</v>
    <v t="i">494</v>
    <v t="i">495</v>
    <v t="i">496</v>
    <v t="i">497</v>
    <v t="i">500</v>
    <v t="i">501</v>
    <v t="i">502</v>
    <v t="i">503</v>
    <v t="i">504</v>
    <v t="i">507</v>
    <v t="i">508</v>
    <v t="i">509</v>
    <v t="i">510</v>
    <v t="i">511</v>
    <v t="i">514</v>
    <v t="i">515</v>
    <v t="i">516</v>
    <v t="i">517</v>
    <v t="i">518</v>
    <v t="i">521</v>
    <v t="i">522</v>
    <v t="i">523</v>
    <v t="i">524</v>
    <v t="i">525</v>
    <v t="i">529</v>
    <v t="i">530</v>
    <v t="i">531</v>
    <v t="i">532</v>
    <v t="i">535</v>
    <v t="i">536</v>
    <v t="i">537</v>
    <v t="i">538</v>
    <v t="i">539</v>
    <v t="i">542</v>
    <v t="i">543</v>
    <v t="i">544</v>
    <v t="i">545</v>
    <v t="i">546</v>
    <v t="i">549</v>
    <v t="i">550</v>
    <v t="i">551</v>
    <v t="i">552</v>
    <v t="i">553</v>
    <v t="i">556</v>
    <v t="i">557</v>
    <v t="i">558</v>
    <v t="i">559</v>
    <v t="i">560</v>
    <v t="i">563</v>
    <v t="i">564</v>
    <v t="i">565</v>
    <v t="i">566</v>
    <v t="i">567</v>
    <v t="i">570</v>
    <v t="i">571</v>
    <v t="i">572</v>
    <v t="i">573</v>
    <v t="i">574</v>
    <v t="i">577</v>
    <v t="i">578</v>
    <v t="i">579</v>
    <v t="i">580</v>
    <v t="i">581</v>
    <v t="i">584</v>
    <v t="i">585</v>
    <v t="i">586</v>
    <v t="i">587</v>
    <v t="i">588</v>
    <v t="i">591</v>
    <v t="i">592</v>
    <v t="i">593</v>
    <v t="i">594</v>
    <v t="i">595</v>
    <v t="i">598</v>
    <v t="i">599</v>
    <v t="i">600</v>
    <v t="i">601</v>
    <v t="i">602</v>
    <v t="i">605</v>
    <v t="i">606</v>
    <v t="i">607</v>
    <v t="i">608</v>
    <v t="i">609</v>
    <v t="i">612</v>
    <v t="i">613</v>
    <v t="i">614</v>
    <v t="i">616</v>
    <v t="i">619</v>
    <v t="i">620</v>
    <v t="i">621</v>
    <v t="i">622</v>
    <v t="i">623</v>
    <v t="i">626</v>
    <v t="i">627</v>
    <v t="i">628</v>
    <v t="i">629</v>
    <v t="i">630</v>
    <v t="i">633</v>
    <v t="i">634</v>
    <v t="i">635</v>
    <v t="i">636</v>
    <v t="i">637</v>
    <v t="i">640</v>
    <v t="i">641</v>
    <v t="i">643</v>
    <v t="i">644</v>
    <v t="i">647</v>
    <v t="i">648</v>
    <v t="i">650</v>
    <v t="i">651</v>
    <v t="i">654</v>
    <v t="i">655</v>
    <v t="i">656</v>
    <v t="i">658</v>
    <v t="i">661</v>
    <v t="i">662</v>
    <v t="i">663</v>
    <v t="i">664</v>
    <v t="i">665</v>
    <v t="i">669</v>
    <v t="i">670</v>
    <v t="i">671</v>
    <v t="i">672</v>
    <v t="i">675</v>
    <v t="i">676</v>
    <v t="i">677</v>
    <v t="i">678</v>
    <v t="i">679</v>
    <v t="i">682</v>
    <v t="i">683</v>
    <v t="i">684</v>
    <v t="i">685</v>
    <v t="i">686</v>
    <v t="i">689</v>
    <v t="i">690</v>
    <v t="i">691</v>
    <v t="i">692</v>
    <v t="i">693</v>
    <v t="i">697</v>
    <v t="i">698</v>
    <v t="i">699</v>
    <v t="i">700</v>
    <v t="i">703</v>
    <v t="i">704</v>
    <v t="i">705</v>
    <v t="i">706</v>
    <v t="i">707</v>
    <v t="i">710</v>
    <v t="i">711</v>
    <v t="i">712</v>
    <v t="i">713</v>
    <v t="i">714</v>
    <v t="i">717</v>
    <v t="i">718</v>
    <v t="i">719</v>
    <v t="i">720</v>
    <v t="i">721</v>
    <v t="i">724</v>
    <v t="i">725</v>
    <v t="i">726</v>
    <v t="i">727</v>
    <v t="i">728</v>
    <v t="i">731</v>
    <v t="i">732</v>
    <v t="i">733</v>
    <v t="i">734</v>
    <v t="i">735</v>
    <v t="i">738</v>
    <v t="i">739</v>
    <v t="i">740</v>
    <v t="i">741</v>
    <v t="i">742</v>
    <v t="i">745</v>
    <v t="i">746</v>
    <v t="i">747</v>
    <v t="i">748</v>
    <v t="i">749</v>
    <v t="i">752</v>
    <v t="i">753</v>
    <v t="i">754</v>
    <v t="i">755</v>
    <v t="i">759</v>
    <v t="i">760</v>
    <v t="i">761</v>
    <v t="i">762</v>
    <v t="i">763</v>
    <v t="i">766</v>
    <v t="i">767</v>
    <v t="i">768</v>
    <v t="i">769</v>
    <v t="i">770</v>
    <v t="i">773</v>
    <v t="i">774</v>
    <v t="i">775</v>
    <v t="i">776</v>
    <v t="i">777</v>
    <v t="i">780</v>
    <v t="i">781</v>
    <v t="i">782</v>
    <v t="i">783</v>
    <v t="i">784</v>
    <v t="i">787</v>
    <v t="i">788</v>
    <v t="i">789</v>
    <v t="i">790</v>
    <v t="i">791</v>
    <v t="i">795</v>
    <v t="i">796</v>
    <v t="i">797</v>
    <v t="i">798</v>
    <v t="i">801</v>
    <v t="i">802</v>
    <v t="i">803</v>
    <v t="i">804</v>
    <v t="i">805</v>
    <v t="i">808</v>
    <v t="i">809</v>
    <v t="i">810</v>
    <v t="i">811</v>
    <v t="i">812</v>
    <v t="i">815</v>
    <v t="i">816</v>
    <v t="i">817</v>
    <v t="i">819</v>
    <v t="i">822</v>
    <v t="i">823</v>
    <v t="i">824</v>
    <v t="i">825</v>
    <v t="i">826</v>
    <v t="i">829</v>
    <v t="i">830</v>
    <v t="i">831</v>
    <v t="i">832</v>
    <v t="i">836</v>
    <v t="i">837</v>
    <v t="i">838</v>
    <v t="i">839</v>
    <v t="i">840</v>
    <v t="i">843</v>
    <v t="i">844</v>
    <v t="i">845</v>
    <v t="i">846</v>
    <v t="i">847</v>
    <v t="i">850</v>
    <v t="i">851</v>
    <v t="i">852</v>
    <v t="i">853</v>
    <v t="i">854</v>
    <v t="i">857</v>
    <v t="i">858</v>
    <v t="i">859</v>
    <v t="i">860</v>
    <v t="i">861</v>
    <v t="i">864</v>
    <v t="i">865</v>
    <v t="i">866</v>
    <v t="i">867</v>
    <v t="i">868</v>
    <v t="i">871</v>
    <v t="i">872</v>
    <v t="i">873</v>
    <v t="i">874</v>
    <v t="i">875</v>
    <v t="i">878</v>
    <v t="i">879</v>
    <v t="i">880</v>
    <v t="i">881</v>
    <v t="i">882</v>
    <v t="i">885</v>
    <v t="i">886</v>
    <v t="i">887</v>
    <v t="i">888</v>
    <v t="i">889</v>
    <v t="i">893</v>
    <v t="i">894</v>
    <v t="i">895</v>
    <v t="i">896</v>
    <v t="i">899</v>
    <v t="i">900</v>
    <v t="i">901</v>
    <v t="i">902</v>
    <v t="i">903</v>
    <v t="i">906</v>
    <v t="i">907</v>
    <v t="i">908</v>
    <v t="i">909</v>
    <v t="i">910</v>
    <v t="i">913</v>
    <v t="i">914</v>
    <v t="i">915</v>
    <v t="i">916</v>
    <v t="i">917</v>
    <v t="i">920</v>
    <v t="i">921</v>
    <v t="i">922</v>
    <v t="i">923</v>
    <v t="i">924</v>
    <v t="i">927</v>
    <v t="i">928</v>
    <v t="i">929</v>
    <v t="i">930</v>
    <v t="i">931</v>
    <v t="i">934</v>
    <v t="i">935</v>
    <v t="i">936</v>
    <v t="i">937</v>
    <v t="i">938</v>
    <v t="i">941</v>
    <v t="i">942</v>
    <v t="i">943</v>
    <v t="i">944</v>
    <v t="i">945</v>
    <v t="i">948</v>
    <v t="i">949</v>
    <v t="i">950</v>
    <v t="i">951</v>
    <v t="i">952</v>
    <v t="i">955</v>
    <v t="i">956</v>
    <v t="i">957</v>
    <v t="i">958</v>
    <v t="i">959</v>
    <v t="i">962</v>
    <v t="i">963</v>
    <v t="i">964</v>
    <v t="i">965</v>
    <v t="i">966</v>
    <v t="i">969</v>
    <v t="i">970</v>
    <v t="i">971</v>
    <v t="i">972</v>
    <v t="i">973</v>
    <v t="i">976</v>
    <v t="i">977</v>
    <v t="i">978</v>
    <v t="i">980</v>
    <v t="i">983</v>
    <v t="i">984</v>
    <v t="i">985</v>
    <v t="i">986</v>
    <v t="i">987</v>
    <v t="i">990</v>
    <v t="i">991</v>
    <v t="i">992</v>
    <v t="i">993</v>
    <v t="i">994</v>
    <v t="i">997</v>
    <v t="i">998</v>
    <v t="i">999</v>
    <v t="i">1000</v>
    <v t="i">1001</v>
    <v t="i">1004</v>
    <v t="i">1005</v>
    <v t="i">1006</v>
    <v t="i">1008</v>
    <v t="i">1011</v>
    <v t="i">1012</v>
    <v t="i">1013</v>
    <v t="i">1015</v>
    <v t="i">1018</v>
    <v t="i">1019</v>
    <v t="i">1020</v>
    <v t="i">1021</v>
    <v t="i">1022</v>
    <v t="i">1025</v>
    <v t="i">1026</v>
    <v t="i">1027</v>
    <v t="i">1028</v>
    <v t="i">1029</v>
    <v t="i">1033</v>
    <v t="i">1034</v>
    <v t="i">1035</v>
    <v t="i">1036</v>
    <v t="i">1039</v>
    <v t="i">1040</v>
    <v t="i">1041</v>
    <v t="i">1042</v>
    <v t="i">1043</v>
    <v t="i">1046</v>
    <v t="i">1047</v>
    <v t="i">1048</v>
    <v t="i">1049</v>
    <v t="i">1050</v>
    <v t="i">1053</v>
    <v t="i">1054</v>
    <v t="i">1055</v>
    <v t="i">1056</v>
    <v t="i">1057</v>
    <v t="i">1061</v>
    <v t="i">1062</v>
    <v t="i">1063</v>
    <v t="i">1064</v>
    <v t="i">1067</v>
    <v t="i">1068</v>
    <v t="i">1069</v>
    <v t="i">1070</v>
    <v t="i">1071</v>
    <v t="i">1074</v>
    <v t="i">1075</v>
    <v t="i">1076</v>
    <v t="i">1077</v>
    <v t="i">1078</v>
    <v t="i">1081</v>
    <v t="i">1082</v>
    <v t="i">1083</v>
    <v t="i">1084</v>
    <v t="i">1085</v>
    <v t="i">1088</v>
    <v t="i">1089</v>
    <v t="i">1090</v>
    <v t="i">1091</v>
    <v t="i">1092</v>
    <v t="i">1095</v>
  </a>
  <a r="1" c="751">
    <v>395.75</v>
    <v>396.49</v>
    <v>395.6</v>
    <v>401.35</v>
    <v>403.7</v>
    <v>409.39</v>
    <v>410.95</v>
    <v>408.67</v>
    <v>407.6</v>
    <v>409.19</v>
    <v>409.61</v>
    <v>409.72</v>
    <v>408.05</v>
    <v>413.47</v>
    <v>412.46</v>
    <v>413.94</v>
    <v>414.21</v>
    <v>414.14</v>
    <v>411.88</v>
    <v>412.2</v>
    <v>412.63</v>
    <v>406.08</v>
    <v>404.36</v>
    <v>412.41</v>
    <v>415.93</v>
    <v>415.51</v>
    <v>410.84</v>
    <v>408.02</v>
    <v>405.13</v>
    <v>412.63</v>
    <v>412.74</v>
    <v>410.93</v>
    <v>412.85</v>
    <v>412.13</v>
    <v>411.59</v>
    <v>413.01</v>
    <v>410.25</v>
    <v>415.23</v>
    <v>419.23</v>
    <v>418.62</v>
    <v>418.79</v>
    <v>414.09</v>
    <v>411.09</v>
    <v>414.65</v>
    <v>420.02</v>
    <v>420.18</v>
    <v>417.85</v>
    <v>421.82</v>
    <v>427.92</v>
    <v>427.1</v>
    <v>428.03</v>
    <v>426.55</v>
    <v>429.13</v>
    <v>429.9</v>
    <v>433.8</v>
    <v>436.66</v>
    <v>437.18</v>
    <v>442.6</v>
    <v>439.46</v>
    <v>437.18</v>
    <v>434.94</v>
    <v>436.51</v>
    <v>433.21</v>
    <v>431.44</v>
    <v>436.17</v>
    <v>436.39</v>
    <v>438.11</v>
    <v>443.28</v>
    <v>443.79</v>
    <v>443.13</v>
    <v>439.66</v>
    <v>438.55</v>
    <v>439.66</v>
    <v>442.46</v>
    <v>446.02</v>
    <v>449.56</v>
    <v>449.28</v>
    <v>450.84</v>
    <v>454.19</v>
    <v>455.2</v>
    <v>452.18</v>
    <v>452.18</v>
    <v>454.2</v>
    <v>455.44</v>
    <v>455.51</v>
    <v>452.49</v>
    <v>456.92</v>
    <v>457.79</v>
    <v>456.48</v>
    <v>450.13</v>
    <v>448.84</v>
    <v>446.81</v>
    <v>450.71</v>
    <v>448.75</v>
    <v>445.75</v>
    <v>445.91</v>
    <v>445.65</v>
    <v>448.11</v>
    <v>442.89</v>
    <v>439.64</v>
    <v>436.29</v>
    <v>436.5</v>
    <v>439.34</v>
    <v>438.15</v>
    <v>443.03</v>
    <v>436.89</v>
    <v>439.97</v>
    <v>442.76</v>
    <v>449.16</v>
    <v>451.01</v>
    <v>450.35</v>
    <v>451.19</v>
    <v>449.24</v>
    <v>446.22</v>
    <v>444.85</v>
    <v>445.52</v>
    <v>448.45</v>
    <v>445.99</v>
    <v>446.51</v>
    <v>450.36</v>
    <v>443.37</v>
    <v>443.63</v>
    <v>442.71</v>
    <v>438.64</v>
    <v>431.39</v>
    <v>430.42</v>
    <v>432.23</v>
    <v>425.88</v>
    <v>426.05</v>
    <v>428.52</v>
    <v>427.48</v>
    <v>427.31</v>
    <v>421.59</v>
    <v>424.66</v>
    <v>424.5</v>
    <v>429.54</v>
    <v>432.29</v>
    <v>434.54</v>
    <v>436.32</v>
    <v>433.66</v>
    <v>431.5</v>
    <v>436.04</v>
    <v>436.02</v>
    <v>430.21</v>
    <v>426.43</v>
    <v>421.19</v>
    <v>420.46</v>
    <v>423.63</v>
    <v>417.55</v>
    <v>412.55</v>
    <v>410.68</v>
    <v>415.59</v>
    <v>418.2</v>
    <v>422.66</v>
    <v>430.76</v>
    <v>434.69</v>
    <v>435.69</v>
    <v>436.93</v>
    <v>437.25</v>
    <v>433.84</v>
    <v>440.61</v>
    <v>440.19</v>
    <v>448.73</v>
    <v>449.68</v>
    <v>450.23</v>
    <v>450.79</v>
    <v>454.26</v>
    <v>453.27</v>
    <v>455.02</v>
    <v>455.3</v>
    <v>454.48</v>
    <v>454.93</v>
    <v>454.61</v>
    <v>456.4</v>
    <v>459.1</v>
    <v>456.69</v>
    <v>456.6</v>
    <v>454.76</v>
    <v>458.23</v>
    <v>460.2</v>
    <v>461.99</v>
    <v>464.1</v>
    <v>470.5</v>
    <v>472.01</v>
    <v>469.33</v>
    <v>471.97</v>
    <v>474.84</v>
    <v>468.26</v>
    <v>472.7</v>
    <v>473.65</v>
    <v>475.65</v>
    <v>476.51</v>
    <v>476.69</v>
    <v>475.31</v>
    <v>472.65</v>
    <v>468.79</v>
    <v>467.28</v>
    <v>467.92</v>
    <v>474.6</v>
    <v>473.88</v>
    <v>476.56</v>
    <v>476.35</v>
    <v>476.68</v>
    <v>474.93</v>
    <v>472.29</v>
    <v>476.49</v>
    <v>482.43</v>
    <v>483.45</v>
    <v>484.86</v>
    <v>485.39</v>
    <v>488.03</v>
    <v>487.41</v>
    <v>491.27</v>
    <v>490.89</v>
    <v>482.88</v>
    <v>489.2</v>
    <v>494.35</v>
    <v>492.55</v>
    <v>493.98</v>
    <v>498.1</v>
    <v>498.32</v>
    <v>501.2</v>
    <v>500.98</v>
    <v>494.08</v>
    <v>498.57</v>
    <v>502.01</v>
    <v>499.51</v>
    <v>496.76</v>
    <v>497.21</v>
    <v>507.5</v>
    <v>507.85</v>
    <v>505.99</v>
    <v>506.93</v>
    <v>506.26</v>
    <v>508.08</v>
    <v>512.85</v>
    <v>512.29999999999995</v>
    <v>507.18</v>
    <v>509.75</v>
    <v>514.80999999999995</v>
    <v>511.72</v>
    <v>511.28</v>
    <v>516.78</v>
    <v>515.97</v>
    <v>514.95000000000005</v>
    <v>509.83</v>
    <v>512.86</v>
    <v>515.71</v>
    <v>520.48</v>
    <v>522.20000000000005</v>
    <v>521.21</v>
    <v>519.77</v>
    <v>518.80999999999995</v>
    <v>523.16999999999996</v>
    <v>523.07000000000005</v>
    <v>522.16</v>
    <v>518.84</v>
    <v>519.41</v>
    <v>513.07000000000005</v>
    <v>518.42999999999995</v>
    <v>518.72</v>
    <v>519.32000000000005</v>
    <v>514.12</v>
    <v>518</v>
    <v>510.85</v>
    <v>504.45</v>
    <v>503.53</v>
    <v>500.55</v>
    <v>499.52</v>
    <v>495.16</v>
    <v>499.72</v>
    <v>505.65</v>
    <v>505.41</v>
    <v>503.49</v>
    <v>508.26</v>
    <v>510.06</v>
    <v>501.98</v>
    <v>500.35</v>
    <v>505.03</v>
    <v>511.29</v>
    <v>516.57000000000005</v>
    <v>517.14</v>
    <v>517.19000000000005</v>
    <v>520.16999999999996</v>
    <v>520.84</v>
    <v>520.91</v>
    <v>523.29999999999995</v>
    <v>529.78</v>
    <v>528.69000000000005</v>
    <v>529.45000000000005</v>
    <v>530.05999999999995</v>
    <v>531.36</v>
    <v>529.83000000000004</v>
    <v>525.96</v>
    <v>529.44000000000005</v>
    <v>529.80999999999995</v>
    <v>526.1</v>
    <v>522.61</v>
    <v>527.37</v>
    <v>527.79999999999995</v>
    <v>528.39</v>
    <v>534.66999999999996</v>
    <v>534.66</v>
    <v>534.01</v>
    <v>535.66</v>
    <v>536.95000000000005</v>
    <v>541.36</v>
    <v>542.45000000000005</v>
    <v>542.78</v>
    <v>547.1</v>
    <v>548.49</v>
    <v>547</v>
    <v>544.51</v>
    <v>542.74</v>
    <v>544.83000000000004</v>
    <v>545.51</v>
    <v>546.37</v>
    <v>544.22</v>
    <v>545.34</v>
    <v>549.01</v>
    <v>551.46</v>
    <v>554.64</v>
    <v>555.28</v>
    <v>555.82000000000005</v>
    <v>561.32000000000005</v>
    <v>556.48</v>
    <v>559.99</v>
    <v>561.53</v>
    <v>564.86</v>
    <v>556.94000000000005</v>
    <v>552.66</v>
    <v>548.99</v>
    <v>554.65</v>
    <v>553.78</v>
    <v>541.23</v>
    <v>538.41</v>
    <v>544.44000000000005</v>
    <v>544.76</v>
    <v>542</v>
    <v>550.80999999999995</v>
    <v>543.01</v>
    <v>532.9</v>
    <v>517.38</v>
    <v>522.15</v>
    <v>518.66</v>
    <v>530.65</v>
    <v>532.99</v>
    <v>533.27</v>
    <v>542.04</v>
    <v>543.75</v>
    <v>553.07000000000005</v>
    <v>554.30999999999995</v>
    <v>559.61</v>
    <v>558.70000000000005</v>
    <v>560.62</v>
    <v>556.22</v>
    <v>562.13</v>
    <v>560.79</v>
    <v>561.55999999999995</v>
    <v>558.29999999999995</v>
    <v>558.35</v>
    <v>563.67999999999995</v>
    <v>552.08000000000004</v>
    <v>550.95000000000005</v>
    <v>549.61</v>
    <v>540.36</v>
    <v>546.41</v>
    <v>548.79</v>
    <v>554.41999999999996</v>
    <v>559.09</v>
    <v>562.01</v>
    <v>562.84</v>
    <v>563.07000000000005</v>
    <v>561.4</v>
    <v>570.98</v>
    <v>568.25</v>
    <v>569.66999999999996</v>
    <v>571.29999999999995</v>
    <v>570.04</v>
    <v>572.29999999999995</v>
    <v>571.47</v>
    <v>573.76</v>
    <v>568.62</v>
    <v>568.86</v>
    <v>567.82000000000005</v>
    <v>572.98</v>
    <v>567.79999999999995</v>
    <v>573.16999999999996</v>
    <v>577.14</v>
    <v>576.13</v>
    <v>579.58000000000004</v>
    <v>584.32000000000005</v>
    <v>579.78</v>
    <v>582.29999999999995</v>
    <v>582.35</v>
    <v>584.59</v>
    <v>583.63</v>
    <v>583.32000000000005</v>
    <v>577.99</v>
    <v>579.24</v>
    <v>579.04</v>
    <v>580.83000000000004</v>
    <v>581.77</v>
    <v>580.01</v>
    <v>568.64</v>
    <v>571.04</v>
    <v>569.80999999999995</v>
    <v>576.70000000000005</v>
    <v>591.04</v>
    <v>595.61</v>
    <v>598.19000000000005</v>
    <v>598.76</v>
    <v>596.9</v>
    <v>597.19000000000005</v>
    <v>593.35</v>
    <v>585.75</v>
    <v>588.15</v>
    <v>590.29999999999995</v>
    <v>590.5</v>
    <v>593.66999999999996</v>
    <v>595.51</v>
    <v>597.53</v>
    <v>600.65</v>
    <v>598.83000000000004</v>
    <v>602.54999999999995</v>
    <v>603.63</v>
    <v>603.91</v>
    <v>607.66</v>
    <v>606.66</v>
    <v>607.80999999999995</v>
    <v>604.67999999999995</v>
    <v>602.79999999999995</v>
    <v>607.46</v>
    <v>604.33000000000004</v>
    <v>604.21</v>
    <v>606.79</v>
    <v>604.29</v>
    <v>586.28</v>
    <v>586.1</v>
    <v>591.15</v>
    <v>594.69000000000005</v>
    <v>601.29999999999995</v>
    <v>601.34</v>
    <v>595.01</v>
    <v>588.22</v>
    <v>586.08000000000004</v>
    <v>584.64</v>
    <v>591.95000000000005</v>
    <v>595.36</v>
    <v>588.63</v>
    <v>589.49</v>
    <v>580.49</v>
    <v>581.39</v>
    <v>582.19000000000005</v>
    <v>592.78</v>
    <v>591.64</v>
    <v>597.58000000000004</v>
    <v>603.04999999999995</v>
    <v>606.44000000000005</v>
    <v>609.75</v>
    <v>607.97</v>
    <v>599.37</v>
    <v>604.52</v>
    <v>601.80999999999995</v>
    <v>605.04</v>
    <v>601.82000000000005</v>
    <v>597.77</v>
    <v>601.78</v>
    <v>604.22</v>
    <v>606.32000000000005</v>
    <v>600.77</v>
    <v>604.85</v>
    <v>605.30999999999995</v>
    <v>603.36</v>
    <v>609.73</v>
    <v>609.70000000000005</v>
    <v>611.49</v>
    <v>612.92999999999995</v>
    <v>610.38</v>
    <v>599.94000000000005</v>
    <v>597.21</v>
    <v>594.24</v>
    <v>594.54</v>
    <v>585.04999999999995</v>
    <v>594.17999999999995</v>
    <v>583.77</v>
    <v>576.86</v>
    <v>583.05999999999995</v>
    <v>572.71</v>
    <v>575.91999999999996</v>
    <v>560.58000000000004</v>
    <v>555.91999999999996</v>
    <v>558.87</v>
    <v>551.41999999999996</v>
    <v>562.80999999999995</v>
    <v>567.15</v>
    <v>561.02</v>
    <v>567.13</v>
    <v>565.49</v>
    <v>563.98</v>
    <v>574.08000000000004</v>
    <v>575.46</v>
    <v>568.59</v>
    <v>567.08000000000004</v>
    <v>555.66</v>
    <v>559.39</v>
    <v>560.97</v>
    <v>564.52</v>
    <v>536.70000000000005</v>
    <v>505.28</v>
    <v>504.38</v>
    <v>496.48</v>
    <v>548.62</v>
    <v>524.58000000000004</v>
    <v>533.94000000000005</v>
    <v>539.12</v>
    <v>537.61</v>
    <v>525.66</v>
    <v>526.41</v>
    <v>513.88</v>
    <v>527.25</v>
    <v>535.41999999999996</v>
    <v>546.69000000000005</v>
    <v>550.64</v>
    <v>550.85</v>
    <v>554.32000000000005</v>
    <v>554.54</v>
    <v>558.47</v>
    <v>566.76</v>
    <v>563.51</v>
    <v>558.79999999999995</v>
    <v>561.15</v>
    <v>565.05999999999995</v>
    <v>564.34</v>
    <v>582.99</v>
    <v>586.84</v>
    <v>587.59</v>
    <v>590.46</v>
    <v>594.20000000000005</v>
    <v>594.85</v>
    <v>592.85</v>
    <v>582.86</v>
    <v>583.09</v>
    <v>579.11</v>
    <v>591.15</v>
    <v>587.73</v>
    <v>590.04999999999995</v>
    <v>589.39</v>
    <v>592.71</v>
    <v>596.09</v>
    <v>595.92999999999995</v>
    <v>593.04999999999995</v>
    <v>599.14</v>
    <v>599.67999999999995</v>
    <v>603.08000000000004</v>
    <v>601.36</v>
    <v>603.75</v>
    <v>597</v>
    <v>602.67999999999995</v>
    <v>597.53</v>
    <v>597.44000000000005</v>
    <v>594.28</v>
    <v>600.15</v>
    <v>606.78</v>
    <v>607.12</v>
    <v>611.87</v>
    <v>614.91</v>
    <v>617.85</v>
    <v>617.65</v>
    <v>620.45000000000005</v>
    <v>625.34</v>
    <v>620.67999999999995</v>
    <v>620.34</v>
    <v>624.05999999999995</v>
    <v>625.82000000000005</v>
    <v>623.62</v>
    <v>624.80999999999995</v>
    <v>622.14</v>
    <v>624.22</v>
    <v>628.04</v>
    <v>627.58000000000004</v>
    <v>628.77</v>
    <v>628.86</v>
    <v>634.21</v>
    <v>634.41999999999996</v>
    <v>637.1</v>
    <v>636.94000000000005</v>
    <v>635.26</v>
    <v>634.46</v>
    <v>632.08000000000004</v>
    <v>621.72</v>
    <v>631.16999999999996</v>
    <v>627.97</v>
    <v>632.78</v>
    <v>632.25</v>
    <v>637.17999999999995</v>
    <v>635.91999999999996</v>
    <v>642.69000000000005</v>
    <v>644.89</v>
    <v>644.95000000000005</v>
    <v>643.44000000000005</v>
    <v>643.29999999999995</v>
    <v>639.80999999999995</v>
    <v>638.11</v>
    <v>635.54999999999995</v>
    <v>645.30999999999995</v>
    <v>642.47</v>
    <v>645.16</v>
    <v>646.63</v>
    <v>648.91999999999996</v>
    <v>645.04999999999995</v>
    <v>640.27</v>
    <v>643.74</v>
    <v>649.12</v>
    <v>647.24</v>
    <v>648.83000000000004</v>
    <v>650.33000000000004</v>
    <v>652.21</v>
    <v>657.63</v>
    <v>657.41</v>
    <v>660.91</v>
    <v>660</v>
    <v>659.18</v>
    <v>662.26</v>
    <v>663.7</v>
    <v>666.84</v>
    <v>663.21</v>
    <v>661.1</v>
    <v>658.05</v>
    <v>661.82</v>
    <v>663.68</v>
    <v>666.18</v>
    <v>668.45</v>
    <v>669.22</v>
    <v>669.21</v>
    <v>671.61</v>
    <v>669.12</v>
    <v>673.11</v>
    <v>671.16</v>
    <v>653.02</v>
    <v>663.04</v>
    <v>662.23</v>
    <v>665.17</v>
    <v>660.64</v>
    <v>664.39</v>
    <v>671.3</v>
    <v>671.29</v>
    <v>667.8</v>
    <v>671.76</v>
    <v>677.25</v>
    <v>685.24</v>
    <v>687.06</v>
    <v>687.39</v>
    <v>679.83</v>
    <v>682.06</v>
    <v>683.34</v>
    <v>675.24</v>
    <v>677.58</v>
    <v>670.31</v>
    <v>670.97</v>
    <v>681.44</v>
    <v>683</v>
    <v>683.38</v>
    <v>672.04</v>
    <v>671.93</v>
    <v>665.67</v>
    <v>660.08</v>
    <v>662.63</v>
    <v>652.53</v>
    <v>659.03</v>
    <v>668.73</v>
    <v>675.02</v>
    <v>679.68</v>
    <v>683.39</v>
    <v>680.27</v>
    <v>681.53</v>
    <v>683.89</v>
    <v>684.39</v>
    <v>685.69</v>
    <v>683.63</v>
    <v>683.04</v>
    <v>687.57</v>
    <v>689.17</v>
    <v>681.76</v>
    <v>680.73</v>
    <v>678.87</v>
    <v>671.4</v>
    <v>676.47</v>
    <v>680.59</v>
    <v>684.83</v>
    <v>687.96</v>
    <v>690.38</v>
    <v>690.31</v>
    <v>687.85</v>
    <v>687.01</v>
    <v>681.92</v>
    <v>683.17</v>
    <v>687.72</v>
    <v>691.81</v>
    <v>689.58</v>
    <v>689.51</v>
    <v>694.07</v>
    <v>695.16</v>
    <v>693.77</v>
    <v>690.36</v>
    <v>692.24</v>
    <v>691.66</v>
    <v>677.58</v>
    <v>685.4</v>
    <v>688.98</v>
    <v>689.23</v>
    <v>692.73</v>
    <v>695.49</v>
    <v>695.42</v>
    <v>694.04</v>
    <v>691.97</v>
    <v>695.41</v>
    <v>689.53</v>
    <v>686.19</v>
    <v>677.62</v>
    <v>690.62</v>
    <v>693.95</v>
    <v>692.12</v>
    <v>691.96</v>
    <v>681.27</v>
    <v>681.75</v>
    <v>682.85</v>
    <v>686.29</v>
    <v>684.48</v>
    <v>689.43</v>
    <v>682.39</v>
    <v>687.35</v>
    <v>693.15</v>
    <v>689.3</v>
    <v>685.99</v>
    <v>686.38</v>
    <v>680.33</v>
    <v>685.13</v>
    <v>681.31</v>
    <v>672.38</v>
    <v>678.27</v>
    <v>677.18</v>
    <v>676.33</v>
    <v>666.06</v>
    <v>662.29</v>
    <v>669.03</v>
    <v>670.79</v>
    <v>661.43</v>
    <v>659.8</v>
    <v>648.57000000000005</v>
    <v>655.38</v>
  </a>
</arrayData>
</file>

<file path=xl/richData/rdrichvalue.xml><?xml version="1.0" encoding="utf-8"?>
<rvData xmlns="http://schemas.microsoft.com/office/spreadsheetml/2017/richdata" count="1">
  <rv s="0">
    <v>0</v>
    <v>^SPY</v>
    <v>Daily</v>
    <v>45009</v>
    <v>46105</v>
    <v>0</v>
    <v>1</v>
    <v>639098208000000000,639099528708810442,0</v>
    <v>0</v>
    <v>a23hqh</v>
    <v>ARCX:SPY</v>
    <v>1</v>
  </rv>
</rvData>
</file>

<file path=xl/richData/rdrichvaluestructure.xml><?xml version="1.0" encoding="utf-8"?>
<rvStructures xmlns="http://schemas.microsoft.com/office/spreadsheetml/2017/richdata" count="1"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1"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pages.stern.nyu.edu/~adamodar/New_Home_Page/datafile/ctryprem.html" TargetMode="External"/><Relationship Id="rId2" Type="http://schemas.openxmlformats.org/officeDocument/2006/relationships/hyperlink" Target="https://pages.stern.nyu.edu/~adamodar/New_Home_Page/datafile/ctryprem.html" TargetMode="External"/><Relationship Id="rId1" Type="http://schemas.openxmlformats.org/officeDocument/2006/relationships/hyperlink" Target="https://www.cnbc.com/quotes/US10Y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I350"/>
  <sheetViews>
    <sheetView showGridLines="0" tabSelected="1" zoomScaleNormal="100" workbookViewId="0"/>
  </sheetViews>
  <sheetFormatPr defaultColWidth="17.7109375" defaultRowHeight="15" outlineLevelRow="1" x14ac:dyDescent="0.25"/>
  <cols>
    <col min="1" max="1" width="1.7109375" style="40" customWidth="1"/>
    <col min="2" max="2" width="1.7109375" style="41" customWidth="1"/>
    <col min="3" max="3" width="55.7109375" style="1" customWidth="1"/>
    <col min="4" max="7" width="17.7109375" style="1" customWidth="1"/>
    <col min="8" max="8" width="17.7109375" style="15" customWidth="1"/>
    <col min="9" max="16384" width="17.7109375" style="15"/>
  </cols>
  <sheetData>
    <row r="1" spans="1:19" s="1" customFormat="1" x14ac:dyDescent="0.25">
      <c r="A1" s="40"/>
      <c r="B1" s="41"/>
    </row>
    <row r="2" spans="1:19" s="73" customFormat="1" ht="18.75" customHeight="1" x14ac:dyDescent="0.3">
      <c r="A2" s="72" t="str">
        <f>""</f>
        <v/>
      </c>
      <c r="B2" s="72"/>
      <c r="C2" s="4" t="e" cm="1">
        <f t="array" aca="1" ref="C2" ca="1">_xlfn.TEXTBEFORE(INDIRECT("Consensus!A2"),"|")&amp;"- Financial Model"</f>
        <v>#REF!</v>
      </c>
      <c r="D2" s="73" cm="1">
        <f t="array" aca="1" ref="D2" ca="1">IFERROR(--(D9:OFFSET(D9,0,F6-D9)&lt;($D$6+3)),1)</f>
        <v>1</v>
      </c>
    </row>
    <row r="3" spans="1:19" s="11" customFormat="1" x14ac:dyDescent="0.25">
      <c r="A3" s="50"/>
      <c r="B3" s="41"/>
      <c r="C3" s="59" t="e" cm="1">
        <f t="array" aca="1" ref="C3" ca="1">INDIRECT("Consensus!A3")</f>
        <v>#REF!</v>
      </c>
      <c r="D3" s="11" t="e">
        <f ca="1">TRIM(_xlfn.TEXTBEFORE(_xlfn.TEXTAFTER(C3,":")," "))</f>
        <v>#REF!</v>
      </c>
      <c r="E3" s="11">
        <f ca="1">IFERROR(1-(DATE(C6,MONTH(D7),DAY(D7))&lt;D12),1)</f>
        <v>1</v>
      </c>
      <c r="F3" s="11" t="e" cm="1">
        <f t="array" aca="1" ref="F3" ca="1">_xlfn.XLOOKUP(F8,H5:K5,_xlfn.ANCHORARRAY(D5))</f>
        <v>#VALUE!</v>
      </c>
      <c r="G3" s="22" cm="1">
        <f t="array" aca="1" ref="G3" ca="1">IF(ISERROR(C3),1,_xlfn.SEQUENCE(,12))</f>
        <v>1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9" s="11" customFormat="1" x14ac:dyDescent="0.25">
      <c r="A4" s="50"/>
      <c r="B4" s="41"/>
      <c r="C4" s="60" t="e" cm="1">
        <f t="array" aca="1" ref="C4" ca="1">_xlfn.TEXTBEFORE(INDIRECT("Consensus!A11")," (")&amp;", Except for per share data"</f>
        <v>#REF!</v>
      </c>
      <c r="E4" s="14">
        <f ca="1">IFERROR(YEARFRAC(DATE(D6-1,MONTH(D12),DAY(D12)),D7,3),1)</f>
        <v>1.2246575342465753</v>
      </c>
      <c r="F4" s="14">
        <f ca="1">IFERROR(YEARFRAC(D7,DATE(D6,MONTH(D12),DAY(D12)),3),1)</f>
        <v>0.22465753424657534</v>
      </c>
      <c r="G4" s="22" t="str">
        <f>"Jan"</f>
        <v>Jan</v>
      </c>
      <c r="H4" s="22" t="str">
        <f>"Feb"</f>
        <v>Feb</v>
      </c>
      <c r="I4" s="22" t="str">
        <f>"Mar"</f>
        <v>Mar</v>
      </c>
      <c r="J4" s="22" t="str">
        <f>"Apr"</f>
        <v>Apr</v>
      </c>
      <c r="K4" s="22" t="str">
        <f>"May"</f>
        <v>May</v>
      </c>
      <c r="L4" s="22" t="str">
        <f>"Jun"</f>
        <v>Jun</v>
      </c>
      <c r="M4" s="22" t="str">
        <f>"Jul"</f>
        <v>Jul</v>
      </c>
      <c r="N4" s="22" t="str">
        <f>"Aug"</f>
        <v>Aug</v>
      </c>
      <c r="O4" s="22" t="str">
        <f>"Sep"</f>
        <v>Sep</v>
      </c>
      <c r="P4" s="22" t="str">
        <f>"Oct"</f>
        <v>Oct</v>
      </c>
      <c r="Q4" s="22" t="str">
        <f>"Nov"</f>
        <v>Nov</v>
      </c>
      <c r="R4" s="22" t="str">
        <f>"Dec"</f>
        <v>Dec</v>
      </c>
    </row>
    <row r="5" spans="1:19" x14ac:dyDescent="0.25">
      <c r="A5" s="50"/>
      <c r="C5" s="60" t="e" cm="1">
        <f t="array" aca="1" ref="C5" ca="1">_xlfn.TEXTAFTER(INDIRECT("Consensus!A15"),"|   ")</f>
        <v>#REF!</v>
      </c>
      <c r="D5" s="11" cm="1">
        <f t="array" aca="1" ref="D5" ca="1">IF(ISERROR(C3),1,_xlfn.SEQUENCE(,4))</f>
        <v>1</v>
      </c>
      <c r="E5" s="11"/>
      <c r="F5" s="11"/>
      <c r="G5" s="11"/>
      <c r="H5" s="11" t="str">
        <f>C103</f>
        <v>Analyst's Case</v>
      </c>
      <c r="I5" s="11" t="str">
        <f>C132</f>
        <v>Street Case</v>
      </c>
      <c r="J5" s="11" t="str">
        <f>C161</f>
        <v>Optimistic Case</v>
      </c>
      <c r="K5" s="22" t="str">
        <f>C190</f>
        <v>Conservative Case</v>
      </c>
      <c r="L5" s="15" t="str">
        <f>"Current Share Price"</f>
        <v>Current Share Price</v>
      </c>
      <c r="N5" s="57" t="e">
        <f ca="1">IF(O5,O5,AVERAGE(S6:S8))</f>
        <v>#DIV/0!</v>
      </c>
      <c r="O5" s="36"/>
      <c r="P5" s="15" t="str">
        <f>"Exit Multiple (EBITDA)"</f>
        <v>Exit Multiple (EBITDA)</v>
      </c>
      <c r="R5" s="37" cm="1">
        <f t="array" aca="1" ref="R5" ca="1">IFERROR(INDEX(_xlfn.ANCHORARRAY(D72),,COUNTA(_xlfn.ANCHORARRAY(D72))),8)</f>
        <v>8</v>
      </c>
    </row>
    <row r="6" spans="1:19" x14ac:dyDescent="0.25">
      <c r="A6" s="50"/>
      <c r="C6" s="11" t="e" cm="1">
        <f t="array" aca="1" ref="C6" ca="1">IF(G8,G8,_xlfn.NUMBERVALUE(_xlfn.TEXTBEFORE(_xlfn.TEXTAFTER(INDIRECT("Consensus!B18"),"FY ")," ")))</f>
        <v>#REF!</v>
      </c>
      <c r="D6" s="11">
        <f ca="1">IFERROR(MIN(_xlfn.NUMBERVALUE(_xlfn.TEXTBEFORE(_xlfn.TEXTAFTER(C5,"FY "),")"))+E3,_xlfn.XLOOKUP(D7,_xlfn.ANCHORARRAY(D13),$D$9:OFFSET($D$9,0,$F$6-$D$9))),YEAR(D7))</f>
        <v>2026</v>
      </c>
      <c r="E6" s="11" t="e" cm="1">
        <f t="array" aca="1" ref="E6" ca="1">_xlfn.NUMBERVALUE(_xlfn.TEXTBEFORE(_xlfn.TEXTAFTER(OFFSET(INDIRECT("Consensus!A18"),0,COUNTA(INDIRECT("Consensus!18:18"))-1),"FY ")," "))</f>
        <v>#REF!</v>
      </c>
      <c r="F6" s="11">
        <f>IFERROR(IF(I8,I8,D6+9),1)</f>
        <v>2031</v>
      </c>
      <c r="G6" s="11" t="e" cm="1">
        <f t="array" aca="1" ref="G6" ca="1">_xlfn.NUMBERVALUE(INDEX(_xlfn.TEXTSPLIT(C5,"-"),,2))</f>
        <v>#REF!</v>
      </c>
      <c r="H6" s="11" t="e" cm="1">
        <f t="array" aca="1" ref="H6" ca="1">_xlfn.XLOOKUP(_xlfn.TEXTAFTER(_xlfn.TEXTBEFORE(C5,"-"),": "),$G$4:$R$4,_xlfn.ANCHORARRAY($G$3))</f>
        <v>#REF!</v>
      </c>
      <c r="I6" s="11" t="s">
        <v>0</v>
      </c>
      <c r="J6" s="11" t="e">
        <f ca="1">_xlfn.XMATCH(I6,INDIRECT("'Public Company'!A:A"))</f>
        <v>#REF!</v>
      </c>
      <c r="K6" s="11" t="e" cm="1">
        <f t="array" aca="1" ref="K6" ca="1">INDIRECT("'Public Company'!C"&amp;J6)</f>
        <v>#REF!</v>
      </c>
      <c r="L6" s="15" t="str">
        <f>"DCF ("&amp;_xlfn.TEXTAFTER(C229,"(")</f>
        <v>DCF (Exit Multiple)</v>
      </c>
      <c r="N6" s="57">
        <f ca="1">IFERROR(D243,1)</f>
        <v>1</v>
      </c>
      <c r="O6" s="58">
        <f ca="1">IFERROR(D245,1)</f>
        <v>1</v>
      </c>
      <c r="P6" s="15" t="str">
        <f>"Terminal Growth Rate"</f>
        <v>Terminal Growth Rate</v>
      </c>
      <c r="R6" s="38">
        <f>2.5%</f>
        <v>2.5000000000000001E-2</v>
      </c>
      <c r="S6" s="11" t="str" cm="1">
        <f t="array" aca="1" ref="S6" ca="1">IF(SUM(--(ISNUMBER(S7:S8)))&gt;0,AVERAGE(S7:S8),IFERROR(_xlfn.XLOOKUP(D7,13:13,68:68),"NA"))</f>
        <v>NA</v>
      </c>
    </row>
    <row r="7" spans="1:19" x14ac:dyDescent="0.25">
      <c r="A7" s="50"/>
      <c r="C7" s="15" t="str">
        <f>"Valuation Date"</f>
        <v>Valuation Date</v>
      </c>
      <c r="D7" s="55">
        <f ca="1">TODAY()</f>
        <v>46105</v>
      </c>
      <c r="E7" s="11" t="e" cm="1">
        <f t="array" aca="1" ref="E7" ca="1">_xlfn.TEXTBEFORE(ADDRESS(1,_xlfn.XMATCH(C6,_xlfn.NUMBERVALUE(_xlfn.TEXTBEFORE(_xlfn.TEXTAFTER(INDIRECT("Consensus!18:18"),"FY ")," "))),4),1)</f>
        <v>#REF!</v>
      </c>
      <c r="F7" s="24" t="str">
        <f>"Scenario"</f>
        <v>Scenario</v>
      </c>
      <c r="G7" s="18" t="str">
        <f>"Actuals Start"</f>
        <v>Actuals Start</v>
      </c>
      <c r="H7" s="18" t="str">
        <f>"Estimates Start"</f>
        <v>Estimates Start</v>
      </c>
      <c r="I7" s="18" t="str">
        <f>"Estimates End"</f>
        <v>Estimates End</v>
      </c>
      <c r="J7" s="19" t="str">
        <f>"Default: All actuals, 10Y estimates"</f>
        <v>Default: All actuals, 10Y estimates</v>
      </c>
      <c r="L7" s="15" t="str">
        <f>"DCF ("&amp;_xlfn.TEXTAFTER(C247,"(")</f>
        <v>DCF (Perpetuity)</v>
      </c>
      <c r="N7" s="57">
        <f ca="1">IFERROR(D261,1)</f>
        <v>1</v>
      </c>
      <c r="O7" s="58">
        <f ca="1">IFERROR(D263,1)</f>
        <v>1</v>
      </c>
      <c r="P7" s="15" t="str">
        <f>"Nebt Debt"</f>
        <v>Nebt Debt</v>
      </c>
      <c r="R7" s="39">
        <f ca="1">IFERROR(_xlfn.XLOOKUP(D7,13:13,58:58),1)</f>
        <v>1</v>
      </c>
      <c r="S7" s="11" t="str">
        <f ca="1">IFERROR(K6,"NA")</f>
        <v>NA</v>
      </c>
    </row>
    <row r="8" spans="1:19" x14ac:dyDescent="0.25">
      <c r="A8" s="50"/>
      <c r="C8" s="15" t="str">
        <f>"Weighted-Average Cost of Capital"</f>
        <v>Weighted-Average Cost of Capital</v>
      </c>
      <c r="D8" s="56">
        <f ca="1">IF(N8,N8,D288)</f>
        <v>4.2619999999999998E-2</v>
      </c>
      <c r="E8" s="11" t="e" cm="1">
        <f t="array" aca="1" ref="E8" ca="1">IFERROR(_xlfn.TEXTBEFORE(ADDRESS(1,_xlfn.XMATCH(C6,_xlfn.NUMBERVALUE(_xlfn.TEXTBEFORE(_xlfn.TEXTAFTER(INDIRECT("Consensus!18:18"),"FY ")," ")))+F6-D9,4),1),_xlfn.TEXTBEFORE(ADDRESS(1,YEAR(D7)+9-C6,4),1))</f>
        <v>#REF!</v>
      </c>
      <c r="F8" s="33" t="str">
        <f>"Street Case"</f>
        <v>Street Case</v>
      </c>
      <c r="G8" s="33"/>
      <c r="H8" s="34"/>
      <c r="I8" s="34">
        <v>2031</v>
      </c>
      <c r="J8" s="19" t="str">
        <f>"Overwrite years"</f>
        <v>Overwrite years</v>
      </c>
      <c r="L8" s="15" t="str">
        <f>"WACC (Overwrite)"</f>
        <v>WACC (Overwrite)</v>
      </c>
      <c r="N8" s="35">
        <f ca="1">IFERROR(D288,10%)</f>
        <v>4.2619999999999998E-2</v>
      </c>
      <c r="P8" s="15" t="str">
        <f>"Diluted Shares"</f>
        <v>Diluted Shares</v>
      </c>
      <c r="R8" s="39">
        <f ca="1">IFERROR(_xlfn.XLOOKUP(D7,13:13,53:53),1)</f>
        <v>1</v>
      </c>
      <c r="S8" s="11" t="str" cm="1">
        <f t="array" aca="1" ref="S8" ca="1">IFERROR(_xlfn.LET(_xlpm.x,TRANSPOSE(_xlfn.STOCKHISTORY(TRIM(_xlfn.TEXTBEFORE(_xlfn.TEXTAFTER(C3,":")," ")), D7-7, D7,0,0,1)),INDEX(_xlpm.x,,COUNTA(_xlpm.x))),"NA")</f>
        <v>NA</v>
      </c>
    </row>
    <row r="9" spans="1:19" s="11" customFormat="1" x14ac:dyDescent="0.25">
      <c r="A9" s="41"/>
      <c r="B9" s="41"/>
      <c r="D9" s="11" t="e">
        <f ca="1">C6</f>
        <v>#REF!</v>
      </c>
      <c r="E9" s="11" cm="1">
        <f t="array" aca="1" ref="E9" ca="1">IFERROR(_xlfn.SEQUENCE(,F6-D9)+D9,1)</f>
        <v>1</v>
      </c>
    </row>
    <row r="10" spans="1:19" s="11" customFormat="1" x14ac:dyDescent="0.25">
      <c r="A10" s="50"/>
      <c r="B10" s="41"/>
      <c r="C10" s="16" t="str">
        <f>"Consensus Estimates"</f>
        <v>Consensus Estimates</v>
      </c>
      <c r="D10" s="11" cm="1">
        <f t="array" aca="1" ref="D10" ca="1">IFERROR(--(D9:OFFSET(D9,0,F6-D9)&lt;$D$6),1)</f>
        <v>1</v>
      </c>
    </row>
    <row r="11" spans="1:19" s="10" customFormat="1" x14ac:dyDescent="0.25">
      <c r="A11" s="68" t="str">
        <f>""</f>
        <v/>
      </c>
      <c r="B11" s="69"/>
      <c r="D11" s="10" cm="1">
        <f t="array" aca="1" ref="D11" ca="1">IFERROR(IF($D$9:OFFSET($D$9,0,$F$6-$D$9)&lt;$D$6,TEXT($D$9:OFFSET($D$9,0,$F$6-$D$9),"0A"),TEXT($D$9:OFFSET($D$9,0,$F$6-$D$9),"0")&amp;"E"),1)</f>
        <v>1</v>
      </c>
    </row>
    <row r="12" spans="1:19" s="8" customFormat="1" x14ac:dyDescent="0.25">
      <c r="A12" s="62"/>
      <c r="B12" s="66"/>
      <c r="C12" s="3" t="str">
        <f>"Fiscal Year"</f>
        <v>Fiscal Year</v>
      </c>
      <c r="D12" s="8" cm="1">
        <f t="array" aca="1" ref="D12" ca="1">IFERROR(DATE($D$9:OFFSET($D$9,0,$F$6-$D$9),_xlfn.XLOOKUP(_xlfn.TEXTAFTER(_xlfn.TEXTBEFORE($C$5,"-"),": "),$G$4:$R$4,_xlfn.ANCHORARRAY($G$3)),$G$6),1)</f>
        <v>1</v>
      </c>
    </row>
    <row r="13" spans="1:19" s="8" customFormat="1" x14ac:dyDescent="0.25">
      <c r="A13" s="62"/>
      <c r="B13" s="66"/>
      <c r="C13" s="3" t="str">
        <f>"Valuation Date"</f>
        <v>Valuation Date</v>
      </c>
      <c r="D13" s="8" cm="1">
        <f t="array" aca="1" ref="D13" ca="1">IFERROR(DATE(D9:OFFSET(D9,0,F6-D9)-E3,MONTH(D7),DAY(D7)),1)</f>
        <v>1</v>
      </c>
    </row>
    <row r="14" spans="1:19" s="1" customFormat="1" x14ac:dyDescent="0.25">
      <c r="A14" s="40"/>
      <c r="B14" s="41"/>
    </row>
    <row r="15" spans="1:19" s="6" customFormat="1" x14ac:dyDescent="0.25">
      <c r="A15" s="40"/>
      <c r="B15" s="41"/>
      <c r="C15" s="1" t="str">
        <f>"Revenue"</f>
        <v>Revenue</v>
      </c>
      <c r="D15" s="6" t="str" cm="1">
        <f t="array" aca="1" ref="D15" ca="1">IFERROR(_xlfn.NUMBERVALUE(_xlfn.TEXTBEFORE(INDIRECT("Consensus!"&amp;$E$7&amp;B16&amp;":"&amp;$E$8&amp;B16)," ")),"NA")</f>
        <v>NA</v>
      </c>
    </row>
    <row r="16" spans="1:19" s="12" customFormat="1" x14ac:dyDescent="0.25">
      <c r="A16" s="43"/>
      <c r="B16" s="41" t="e">
        <f ca="1">_xlfn.XMATCH(C15,INDIRECT("Consensus!A:A"))</f>
        <v>#REF!</v>
      </c>
      <c r="C16" s="9" t="str">
        <f>"% growth"</f>
        <v>% growth</v>
      </c>
      <c r="E16" s="12" t="str" cm="1">
        <f t="array" aca="1" ref="E16" ca="1">IFERROR(E15:OFFSET(E15,,F6-D9-1)/D15:OFFSET(D15,,F6-D9-1)-1,"NA ")</f>
        <v xml:space="preserve">NA </v>
      </c>
    </row>
    <row r="17" spans="1:4" s="6" customFormat="1" x14ac:dyDescent="0.25">
      <c r="A17" s="40"/>
      <c r="B17" s="41"/>
      <c r="C17" s="1"/>
    </row>
    <row r="18" spans="1:4" s="6" customFormat="1" x14ac:dyDescent="0.25">
      <c r="A18" s="40"/>
      <c r="B18" s="41"/>
      <c r="C18" s="1" t="str">
        <f>"EBITDA"</f>
        <v>EBITDA</v>
      </c>
      <c r="D18" s="6" t="str" cm="1">
        <f t="array" aca="1" ref="D18" ca="1">IFERROR(_xlfn.NUMBERVALUE(_xlfn.TEXTBEFORE(INDIRECT("Consensus!"&amp;$E$7&amp;B19&amp;":"&amp;$E$8&amp;B19)," ")),"NA")</f>
        <v>NA</v>
      </c>
    </row>
    <row r="19" spans="1:4" s="12" customFormat="1" x14ac:dyDescent="0.25">
      <c r="A19" s="43"/>
      <c r="B19" s="41" t="e">
        <f ca="1">_xlfn.XMATCH(C18,INDIRECT("Consensus!A:A"))</f>
        <v>#REF!</v>
      </c>
      <c r="C19" s="9" t="str">
        <f>"% of Revenue"</f>
        <v>% of Revenue</v>
      </c>
      <c r="D19" s="12" t="str" cm="1">
        <f t="array" aca="1" ref="D19" ca="1">IFERROR(D18:OFFSET(D18,0,$F$6-$D$9)/D$15:OFFSET(D$15,0,$F$6-$D$9),"NA ")</f>
        <v xml:space="preserve">NA </v>
      </c>
    </row>
    <row r="20" spans="1:4" s="6" customFormat="1" x14ac:dyDescent="0.25">
      <c r="A20" s="40"/>
      <c r="B20" s="41"/>
      <c r="C20" s="1"/>
    </row>
    <row r="21" spans="1:4" s="6" customFormat="1" x14ac:dyDescent="0.25">
      <c r="A21" s="40"/>
      <c r="B21" s="41"/>
      <c r="C21" s="1" t="str">
        <f>"EBIT"</f>
        <v>EBIT</v>
      </c>
      <c r="D21" s="6" t="str" cm="1">
        <f t="array" aca="1" ref="D21" ca="1">IFERROR(_xlfn.NUMBERVALUE(_xlfn.TEXTBEFORE(INDIRECT("Consensus!"&amp;$E$7&amp;B22&amp;":"&amp;$E$8&amp;B22)," ")),"NA")</f>
        <v>NA</v>
      </c>
    </row>
    <row r="22" spans="1:4" s="12" customFormat="1" x14ac:dyDescent="0.25">
      <c r="A22" s="43"/>
      <c r="B22" s="41" t="e">
        <f ca="1">_xlfn.XMATCH(C21,INDIRECT("Consensus!A:A"))</f>
        <v>#REF!</v>
      </c>
      <c r="C22" s="9" t="str">
        <f>"% of Revenue"</f>
        <v>% of Revenue</v>
      </c>
      <c r="D22" s="12" t="str" cm="1">
        <f t="array" aca="1" ref="D22" ca="1">IFERROR(D21:OFFSET(D21,0,$F$6-$D$9)/D$15:OFFSET(D$15,0,$F$6-$D$9),"NA ")</f>
        <v xml:space="preserve">NA </v>
      </c>
    </row>
    <row r="23" spans="1:4" s="6" customFormat="1" x14ac:dyDescent="0.25">
      <c r="A23" s="40"/>
      <c r="B23" s="41"/>
      <c r="C23" s="1"/>
    </row>
    <row r="24" spans="1:4" s="6" customFormat="1" x14ac:dyDescent="0.25">
      <c r="A24" s="40"/>
      <c r="B24" s="41"/>
      <c r="C24" s="1" t="str">
        <f>"Depreciation &amp; Amortization"</f>
        <v>Depreciation &amp; Amortization</v>
      </c>
      <c r="D24" s="6" t="str" cm="1">
        <f t="array" aca="1" ref="D24" ca="1">IFERROR(_xlfn.NUMBERVALUE(_xlfn.TEXTBEFORE(INDIRECT("Consensus!"&amp;$E$7&amp;B25&amp;":"&amp;$E$8&amp;B25)," ")),"NA")</f>
        <v>NA</v>
      </c>
    </row>
    <row r="25" spans="1:4" s="12" customFormat="1" x14ac:dyDescent="0.25">
      <c r="A25" s="43"/>
      <c r="B25" s="41" t="e">
        <f ca="1">_xlfn.XMATCH(C24,INDIRECT("Consensus!A:A"))</f>
        <v>#REF!</v>
      </c>
      <c r="C25" s="9" t="str">
        <f>"% of Revenue"</f>
        <v>% of Revenue</v>
      </c>
      <c r="D25" s="12" t="str" cm="1">
        <f t="array" aca="1" ref="D25" ca="1">IFERROR(D24:OFFSET(D24,0,$F$6-$D$9)/D$15:OFFSET(D$15,0,$F$6-$D$9),"NA ")</f>
        <v xml:space="preserve">NA </v>
      </c>
    </row>
    <row r="26" spans="1:4" s="6" customFormat="1" x14ac:dyDescent="0.25">
      <c r="A26" s="40"/>
      <c r="B26" s="41"/>
      <c r="C26" s="1"/>
    </row>
    <row r="27" spans="1:4" s="6" customFormat="1" x14ac:dyDescent="0.25">
      <c r="A27" s="40"/>
      <c r="B27" s="41"/>
      <c r="C27" s="1" t="str">
        <f>"Capital Expenditures"</f>
        <v>Capital Expenditures</v>
      </c>
      <c r="D27" s="6" t="str" cm="1">
        <f t="array" aca="1" ref="D27" ca="1">IFERROR(-_xlfn.NUMBERVALUE(_xlfn.TEXTBEFORE(INDIRECT("Consensus!"&amp;$E$7&amp;B28&amp;":"&amp;$E$8&amp;B28)," ")),"NA")</f>
        <v>NA</v>
      </c>
    </row>
    <row r="28" spans="1:4" s="12" customFormat="1" x14ac:dyDescent="0.25">
      <c r="A28" s="43"/>
      <c r="B28" s="41" t="e">
        <f ca="1">_xlfn.XMATCH(C27,INDIRECT("Consensus!A:A"))</f>
        <v>#REF!</v>
      </c>
      <c r="C28" s="9" t="str">
        <f>"% of Revenue"</f>
        <v>% of Revenue</v>
      </c>
      <c r="D28" s="12" t="str" cm="1">
        <f t="array" aca="1" ref="D28" ca="1">IFERROR(-D27:OFFSET(D27,0,$F$6-$D$9)/D$15:OFFSET(D$15,0,$F$6-$D$9),"NA ")</f>
        <v xml:space="preserve">NA </v>
      </c>
    </row>
    <row r="29" spans="1:4" s="6" customFormat="1" x14ac:dyDescent="0.25">
      <c r="A29" s="40"/>
      <c r="B29" s="41"/>
      <c r="C29" s="1"/>
    </row>
    <row r="30" spans="1:4" s="6" customFormat="1" x14ac:dyDescent="0.25">
      <c r="A30" s="40"/>
      <c r="B30" s="41"/>
      <c r="C30" s="1" t="e" cm="1">
        <f t="array" aca="1" ref="C30" ca="1">INDIRECT("Consensus!A"&amp;B31)</f>
        <v>#REF!</v>
      </c>
      <c r="D30" s="6" t="str" cm="1">
        <f t="array" aca="1" ref="D30" ca="1">IFERROR(_xlfn.NUMBERVALUE(_xlfn.TEXTBEFORE(INDIRECT("Consensus!"&amp;$E$7&amp;B31&amp;":"&amp;$E$8&amp;B31)," ")),"NA")</f>
        <v>NA</v>
      </c>
    </row>
    <row r="31" spans="1:4" s="12" customFormat="1" x14ac:dyDescent="0.25">
      <c r="A31" s="43"/>
      <c r="B31" s="41" t="e" cm="1">
        <f t="array" aca="1" ref="B31" ca="1">_xlfn.XMATCH(1,SEARCH("Net Income (",INDIRECT("Consensus!A:A")))</f>
        <v>#REF!</v>
      </c>
      <c r="C31" s="9" t="str">
        <f>"% of Revenue"</f>
        <v>% of Revenue</v>
      </c>
      <c r="D31" s="12" t="str" cm="1">
        <f t="array" aca="1" ref="D31" ca="1">IFERROR(D30:OFFSET(D30,0,$F$6-$D$9)/D$15:OFFSET(D$15,0,$F$6-$D$9),"NA ")</f>
        <v xml:space="preserve">NA </v>
      </c>
    </row>
    <row r="32" spans="1:4" s="6" customFormat="1" x14ac:dyDescent="0.25">
      <c r="A32" s="40"/>
      <c r="B32" s="41"/>
      <c r="C32" s="1"/>
    </row>
    <row r="33" spans="1:5" s="6" customFormat="1" x14ac:dyDescent="0.25">
      <c r="A33" s="40"/>
      <c r="B33" s="41"/>
      <c r="C33" s="1" t="str">
        <f>"Cash From Operations"</f>
        <v>Cash From Operations</v>
      </c>
      <c r="D33" s="6" t="str" cm="1">
        <f t="array" aca="1" ref="D33" ca="1">IFERROR(_xlfn.NUMBERVALUE(_xlfn.TEXTBEFORE(INDIRECT("Consensus!"&amp;$E$7&amp;B34&amp;":"&amp;$E$8&amp;B34)," ")),"NA")</f>
        <v>NA</v>
      </c>
    </row>
    <row r="34" spans="1:5" s="12" customFormat="1" x14ac:dyDescent="0.25">
      <c r="A34" s="43"/>
      <c r="B34" s="41" t="e">
        <f ca="1">_xlfn.XMATCH(C33,INDIRECT("Consensus!A:A"))</f>
        <v>#REF!</v>
      </c>
      <c r="C34" s="9" t="str">
        <f>"% of Revenue"</f>
        <v>% of Revenue</v>
      </c>
      <c r="D34" s="12" t="str" cm="1">
        <f t="array" aca="1" ref="D34" ca="1">IFERROR(D33:OFFSET(D33,0,$F$6-$D$9)/D$15:OFFSET(D$15,0,$F$6-$D$9),"NA ")</f>
        <v xml:space="preserve">NA </v>
      </c>
    </row>
    <row r="35" spans="1:5" s="6" customFormat="1" x14ac:dyDescent="0.25">
      <c r="A35" s="40"/>
      <c r="B35" s="41"/>
      <c r="C35" s="1"/>
    </row>
    <row r="36" spans="1:5" s="6" customFormat="1" x14ac:dyDescent="0.25">
      <c r="A36" s="40"/>
      <c r="B36" s="41"/>
      <c r="C36" s="1" t="str">
        <f>"Change in Working Capital &amp; Other Non-Cash Expenses"</f>
        <v>Change in Working Capital &amp; Other Non-Cash Expenses</v>
      </c>
      <c r="D36" s="6" t="str" cm="1">
        <f t="array" aca="1" ref="D36" ca="1">IFERROR(D33:OFFSET(D33,0,$F$6-$D$9)-D30:OFFSET(D30,0,$F$6-$D$9)-D24:OFFSET(D24,0,$F$6-$D$9),"NA")</f>
        <v>NA</v>
      </c>
    </row>
    <row r="37" spans="1:5" s="12" customFormat="1" x14ac:dyDescent="0.25">
      <c r="A37" s="43"/>
      <c r="B37" s="41"/>
      <c r="C37" s="9" t="str">
        <f>"% of Revenue"</f>
        <v>% of Revenue</v>
      </c>
      <c r="D37" s="12" t="str" cm="1">
        <f t="array" aca="1" ref="D37" ca="1">IFERROR(D36:OFFSET(D36,0,$F$6-$D$9)/D$15:OFFSET(D$15,0,$F$6-$D$9),"NA ")</f>
        <v xml:space="preserve">NA </v>
      </c>
    </row>
    <row r="38" spans="1:5" s="12" customFormat="1" x14ac:dyDescent="0.25">
      <c r="A38" s="43"/>
      <c r="B38" s="49"/>
      <c r="C38" s="9" t="str">
        <f>"% of Change in Revenue"</f>
        <v>% of Change in Revenue</v>
      </c>
      <c r="E38" s="12" t="str" cm="1">
        <f t="array" aca="1" ref="E38" ca="1">IFERROR(E36:OFFSET(E36,,$F$6-$D$9-1)/($E$15:OFFSET($E$15,,$F$6-$D$9-1)-$D$15:OFFSET($D$15,,$F$6-$D$9-1)),"NA ")</f>
        <v xml:space="preserve">NA </v>
      </c>
    </row>
    <row r="39" spans="1:5" s="6" customFormat="1" x14ac:dyDescent="0.25">
      <c r="A39" s="40"/>
      <c r="B39" s="41"/>
      <c r="C39" s="1"/>
    </row>
    <row r="40" spans="1:5" s="6" customFormat="1" x14ac:dyDescent="0.25">
      <c r="A40" s="40"/>
      <c r="B40" s="41"/>
      <c r="C40" s="1" t="str">
        <f>"Normalized Taxes"</f>
        <v>Normalized Taxes</v>
      </c>
      <c r="D40" s="6" t="str" cm="1">
        <f t="array" aca="1" ref="D40" ca="1">IFERROR(-D41:OFFSET(D41,0,$F$6-$D$9)*D21:OFFSET(D21,0,$F$6-$D$9),"NA")</f>
        <v>NA</v>
      </c>
    </row>
    <row r="41" spans="1:5" s="12" customFormat="1" x14ac:dyDescent="0.25">
      <c r="A41" s="43"/>
      <c r="B41" s="49"/>
      <c r="C41" s="9" t="str">
        <f>"Effective Tax Rate (%)"</f>
        <v>Effective Tax Rate (%)</v>
      </c>
      <c r="D41" s="12" t="str" cm="1">
        <f t="array" aca="1" ref="D41" ca="1">IFERROR(IFERROR(_xlfn.NUMBERVALUE(_xlfn.TEXTBEFORE(INDIRECT("Consensus!"&amp;$E$7&amp;B42&amp;":"&amp;$E$8&amp;B42)," ")),"NA")%,"NA ")</f>
        <v xml:space="preserve">NA </v>
      </c>
    </row>
    <row r="42" spans="1:5" s="6" customFormat="1" x14ac:dyDescent="0.25">
      <c r="A42" s="40"/>
      <c r="B42" s="41" t="e">
        <f ca="1">_xlfn.XMATCH(C41,INDIRECT("Consensus!A:A"))</f>
        <v>#REF!</v>
      </c>
      <c r="C42" s="1"/>
    </row>
    <row r="43" spans="1:5" s="6" customFormat="1" x14ac:dyDescent="0.25">
      <c r="A43" s="40"/>
      <c r="B43" s="41"/>
      <c r="C43" s="1" t="str">
        <f>"EBIAT/NOPAT"</f>
        <v>EBIAT/NOPAT</v>
      </c>
      <c r="D43" s="6" t="str" cm="1">
        <f t="array" aca="1" ref="D43" ca="1">IFERROR(D21:OFFSET(D21,0,$F$6-$D$9)+D40:OFFSET(D40,0,$F$6-$D$9),"NA")</f>
        <v>NA</v>
      </c>
    </row>
    <row r="44" spans="1:5" s="12" customFormat="1" x14ac:dyDescent="0.25">
      <c r="A44" s="43"/>
      <c r="B44" s="49"/>
      <c r="C44" s="9" t="str">
        <f>"% of Revenue"</f>
        <v>% of Revenue</v>
      </c>
      <c r="D44" s="12" t="str" cm="1">
        <f t="array" aca="1" ref="D44" ca="1">IFERROR(D43:OFFSET(D43,0,$F$6-$D$9)/D$15:OFFSET(D$15,0,$F$6-$D$9),"NA ")</f>
        <v xml:space="preserve">NA </v>
      </c>
    </row>
    <row r="45" spans="1:5" s="6" customFormat="1" x14ac:dyDescent="0.25">
      <c r="A45" s="40"/>
      <c r="B45" s="41"/>
      <c r="C45" s="1"/>
    </row>
    <row r="46" spans="1:5" s="6" customFormat="1" x14ac:dyDescent="0.25">
      <c r="A46" s="40"/>
      <c r="B46" s="41"/>
      <c r="C46" s="1" t="str">
        <f>"Unlevered Free Cash Flow"</f>
        <v>Unlevered Free Cash Flow</v>
      </c>
      <c r="D46" s="6" t="str" cm="1">
        <f t="array" aca="1" ref="D46" ca="1">IFERROR(D43:OFFSET(D43,0,$F$6-$D$9)+D24:OFFSET(D24,0,$F$6-$D$9)+D36:OFFSET(D36,0,$F$6-$D$9)+D27:OFFSET(D27,0,$F$6-$D$9),"NA")</f>
        <v>NA</v>
      </c>
    </row>
    <row r="47" spans="1:5" s="12" customFormat="1" x14ac:dyDescent="0.25">
      <c r="A47" s="43"/>
      <c r="B47" s="49"/>
      <c r="C47" s="9" t="str">
        <f>"% of Revenue"</f>
        <v>% of Revenue</v>
      </c>
      <c r="D47" s="12" t="str" cm="1">
        <f t="array" aca="1" ref="D47" ca="1">IFERROR(D46:OFFSET(D46,0,$F$6-$D$9)/D$15:OFFSET(D$15,0,$F$6-$D$9),"NA ")</f>
        <v xml:space="preserve">NA </v>
      </c>
    </row>
    <row r="48" spans="1:5" s="6" customFormat="1" x14ac:dyDescent="0.25">
      <c r="A48" s="40"/>
      <c r="B48" s="41"/>
      <c r="C48" s="1"/>
    </row>
    <row r="49" spans="1:4" s="6" customFormat="1" x14ac:dyDescent="0.25">
      <c r="A49" s="40"/>
      <c r="B49" s="41"/>
      <c r="C49" s="1" t="str">
        <f>"Avg. Diluted Shares Outstanding"</f>
        <v>Avg. Diluted Shares Outstanding</v>
      </c>
      <c r="D49" s="6" t="str" cm="1">
        <f t="array" aca="1" ref="D49" ca="1">IFERROR(_xlfn.NUMBERVALUE(_xlfn.TEXTBEFORE(INDIRECT("Consensus!"&amp;$E$7&amp;B50&amp;":"&amp;$E$8&amp;B50)," ")),"NA")</f>
        <v>NA</v>
      </c>
    </row>
    <row r="50" spans="1:4" s="6" customFormat="1" x14ac:dyDescent="0.25">
      <c r="A50" s="40"/>
      <c r="B50" s="41" t="e">
        <f ca="1">_xlfn.XMATCH(C49,INDIRECT("Consensus!A:A"))</f>
        <v>#REF!</v>
      </c>
      <c r="C50" s="1"/>
    </row>
    <row r="51" spans="1:4" s="6" customFormat="1" x14ac:dyDescent="0.25">
      <c r="A51" s="40"/>
      <c r="B51" s="41"/>
      <c r="C51" s="1" t="str">
        <f>"Diluted Shares Outstanding as of Fiscal Year End"</f>
        <v>Diluted Shares Outstanding as of Fiscal Year End</v>
      </c>
      <c r="D51" s="6" t="str" cm="1">
        <f t="array" aca="1" ref="D51" ca="1">IFERROR((D49:OFFSET(D49,0,$F$6-$D$9)+E49:OFFSET(E49,0,$F$6-$D$9))/2,"NA")</f>
        <v>NA</v>
      </c>
    </row>
    <row r="52" spans="1:4" s="6" customFormat="1" x14ac:dyDescent="0.25">
      <c r="A52" s="40"/>
      <c r="B52" s="41"/>
      <c r="C52" s="1"/>
    </row>
    <row r="53" spans="1:4" s="6" customFormat="1" x14ac:dyDescent="0.25">
      <c r="A53" s="40"/>
      <c r="B53" s="41"/>
      <c r="C53" s="1" t="str">
        <f>"Diluted Shares Outstanding as of Valuation Date"</f>
        <v>Diluted Shares Outstanding as of Valuation Date</v>
      </c>
      <c r="D53" s="6" t="str" cm="1">
        <f t="array" aca="1" ref="D53" ca="1">IFERROR(C51:OFFSET(C51,0,$F$6-$D$9)*(1-$E$4)+D51:OFFSET(D51,0,$F$6-$D$9)*(1-$F$4),"NA")</f>
        <v>NA</v>
      </c>
    </row>
    <row r="54" spans="1:4" s="6" customFormat="1" x14ac:dyDescent="0.25">
      <c r="A54" s="40"/>
      <c r="B54" s="41"/>
      <c r="C54" s="1"/>
    </row>
    <row r="55" spans="1:4" s="6" customFormat="1" x14ac:dyDescent="0.25">
      <c r="A55" s="40"/>
      <c r="B55" s="41"/>
      <c r="C55" s="1" t="str">
        <f>"Net Debt"</f>
        <v>Net Debt</v>
      </c>
      <c r="D55" s="6" t="str" cm="1">
        <f t="array" aca="1" ref="D55" ca="1">IFERROR(_xlfn.NUMBERVALUE(_xlfn.TEXTBEFORE(INDIRECT("Consensus!"&amp;$E$7&amp;B56&amp;":"&amp;$E$8&amp;B56)," ")),"NA")</f>
        <v>NA</v>
      </c>
    </row>
    <row r="56" spans="1:4" s="12" customFormat="1" x14ac:dyDescent="0.25">
      <c r="A56" s="43"/>
      <c r="B56" s="41" t="e">
        <f ca="1">_xlfn.XMATCH(C55,INDIRECT("Consensus!A:A"))</f>
        <v>#REF!</v>
      </c>
      <c r="C56" s="9" t="str">
        <f>"% of Revenue"</f>
        <v>% of Revenue</v>
      </c>
      <c r="D56" s="12" t="str" cm="1">
        <f t="array" aca="1" ref="D56" ca="1">IFERROR(D55:OFFSET(D55,0,$F$6-$D$9)/D$15:OFFSET(D$15,0,$F$6-$D$9),"NA ")</f>
        <v xml:space="preserve">NA </v>
      </c>
    </row>
    <row r="57" spans="1:4" s="6" customFormat="1" x14ac:dyDescent="0.25">
      <c r="A57" s="40"/>
      <c r="B57" s="41"/>
      <c r="C57" s="1"/>
    </row>
    <row r="58" spans="1:4" s="6" customFormat="1" x14ac:dyDescent="0.25">
      <c r="A58" s="40"/>
      <c r="B58" s="41"/>
      <c r="C58" s="1" t="str">
        <f>"Net Debt as of Valuation Date"</f>
        <v>Net Debt as of Valuation Date</v>
      </c>
      <c r="D58" s="6" t="str" cm="1">
        <f t="array" aca="1" ref="D58" ca="1">IFERROR(C55:OFFSET(C55,0,$F$6-$D$9)*(1-$E$4)+D55:OFFSET(D55,0,$F$6-$D$9)*(1-$F$4),"NA")</f>
        <v>NA</v>
      </c>
    </row>
    <row r="59" spans="1:4" s="6" customFormat="1" x14ac:dyDescent="0.25">
      <c r="A59" s="40"/>
      <c r="B59" s="41"/>
      <c r="C59" s="1"/>
    </row>
    <row r="60" spans="1:4" s="6" customFormat="1" x14ac:dyDescent="0.25">
      <c r="A60" s="40"/>
      <c r="B60" s="41"/>
      <c r="C60" s="1" t="str">
        <f>"Interest Expense"</f>
        <v>Interest Expense</v>
      </c>
      <c r="D60" s="6" t="str" cm="1">
        <f t="array" aca="1" ref="D60" ca="1">IFERROR(_xlfn.NUMBERVALUE(_xlfn.TEXTBEFORE(INDIRECT("Consensus!"&amp;$E$7&amp;B61&amp;":"&amp;$E$8&amp;B61)," ")),"NA")</f>
        <v>NA</v>
      </c>
    </row>
    <row r="61" spans="1:4" s="6" customFormat="1" x14ac:dyDescent="0.25">
      <c r="A61" s="40"/>
      <c r="B61" s="41" t="e">
        <f ca="1">_xlfn.XMATCH(C60,INDIRECT("Consensus!A:A"))</f>
        <v>#REF!</v>
      </c>
      <c r="C61" s="1"/>
    </row>
    <row r="62" spans="1:4" s="6" customFormat="1" x14ac:dyDescent="0.25">
      <c r="A62" s="40"/>
      <c r="B62" s="41"/>
      <c r="C62" s="1" t="str">
        <f>"TEV"</f>
        <v>TEV</v>
      </c>
      <c r="D62" s="6" t="str" cm="1">
        <f t="array" aca="1" ref="D62" ca="1">IFERROR(_xlfn.NUMBERVALUE(_xlfn.TEXTBEFORE(INDIRECT("Consensus!"&amp;$E$7&amp;B63&amp;":"&amp;$E$8&amp;B63)," ")),"NA")</f>
        <v>NA</v>
      </c>
    </row>
    <row r="63" spans="1:4" s="6" customFormat="1" x14ac:dyDescent="0.25">
      <c r="A63" s="40"/>
      <c r="B63" s="41" t="e">
        <f ca="1">_xlfn.XMATCH(C62,INDIRECT("Consensus!A:A"))</f>
        <v>#REF!</v>
      </c>
      <c r="C63" s="1"/>
    </row>
    <row r="64" spans="1:4" s="6" customFormat="1" x14ac:dyDescent="0.25">
      <c r="A64" s="40"/>
      <c r="B64" s="41"/>
      <c r="C64" s="1" t="str">
        <f>"Equity Value"</f>
        <v>Equity Value</v>
      </c>
      <c r="D64" s="6" t="str" cm="1">
        <f t="array" aca="1" ref="D64" ca="1">IFERROR(_xlfn.ANCHORARRAY(D62)-_xlfn.ANCHORARRAY(D55),"NA")</f>
        <v>NA</v>
      </c>
    </row>
    <row r="65" spans="1:18" s="6" customFormat="1" x14ac:dyDescent="0.25">
      <c r="A65" s="40"/>
      <c r="B65" s="41"/>
      <c r="C65" s="1"/>
    </row>
    <row r="66" spans="1:18" s="6" customFormat="1" x14ac:dyDescent="0.25">
      <c r="A66" s="40"/>
      <c r="B66" s="41"/>
      <c r="C66" s="1" t="str">
        <f>"Equity Value as of Valuation Date"</f>
        <v>Equity Value as of Valuation Date</v>
      </c>
      <c r="D66" s="6" t="str" cm="1">
        <f t="array" aca="1" ref="D66" ca="1">IFERROR(C64:OFFSET(C64,0,$F$6-$D$9)*(1-$E$4)+D64:OFFSET(D64,0,$F$6-$D$9)*(1-$F$4),"NA")</f>
        <v>NA</v>
      </c>
    </row>
    <row r="67" spans="1:18" s="6" customFormat="1" x14ac:dyDescent="0.25">
      <c r="A67" s="40"/>
      <c r="B67" s="41"/>
      <c r="C67" s="1"/>
    </row>
    <row r="68" spans="1:18" s="31" customFormat="1" x14ac:dyDescent="0.25">
      <c r="A68" s="40"/>
      <c r="B68" s="40"/>
      <c r="C68" s="1" t="str">
        <f>"Implied Share Price"</f>
        <v>Implied Share Price</v>
      </c>
      <c r="D68" s="31" t="str" cm="1">
        <f t="array" aca="1" ref="D68" ca="1">IFERROR(_xlfn.ANCHORARRAY(D66)/_xlfn.ANCHORARRAY(D53),"NA ")</f>
        <v xml:space="preserve">NA </v>
      </c>
    </row>
    <row r="69" spans="1:18" s="31" customFormat="1" x14ac:dyDescent="0.25">
      <c r="A69" s="40"/>
      <c r="B69" s="40"/>
      <c r="C69" s="1"/>
    </row>
    <row r="70" spans="1:18" s="32" customFormat="1" x14ac:dyDescent="0.25">
      <c r="A70" s="63"/>
      <c r="B70" s="63"/>
      <c r="C70" s="28" t="str">
        <f>"Implied EV/EBITDA Multiple"</f>
        <v>Implied EV/EBITDA Multiple</v>
      </c>
      <c r="D70" s="32" t="str" cm="1">
        <f t="array" aca="1" ref="D70" ca="1">IFERROR(_xlfn.ANCHORARRAY(D62)/_xlfn.ANCHORARRAY(D18),"NA")</f>
        <v>NA</v>
      </c>
    </row>
    <row r="71" spans="1:18" s="32" customFormat="1" x14ac:dyDescent="0.25">
      <c r="A71" s="63"/>
      <c r="B71" s="63"/>
      <c r="C71" s="28"/>
    </row>
    <row r="72" spans="1:18" s="32" customFormat="1" x14ac:dyDescent="0.25">
      <c r="A72" s="63"/>
      <c r="B72" s="63"/>
      <c r="C72" s="1" t="str">
        <f>"EV/EBITDA Multiple as of Valuation Date"</f>
        <v>EV/EBITDA Multiple as of Valuation Date</v>
      </c>
      <c r="D72" s="32" t="e" cm="1">
        <f t="array" aca="1" ref="D72" ca="1">IF(IFERROR(C70:OFFSET(C70,0,$F$6-$D$9)*(1-$E$4)+D70:OFFSET(D70,0,$F$6-$D$9)*(1-$F$4),D70:OFFSET(D70,0,$F$6-$D$9))="NA",LOOKUP(2,1/(ISNUMBER(IFERROR(C70:OFFSET(C70,0,$F$6-$D$9)*(1-$E$4)+D70:OFFSET(D70,0,$F$6-$D$9)*(1-$F$4),D70:OFFSET(D70,0,$F$6-$D$9)))),IFERROR(C70:OFFSET(C70,0,$F$6-$D$9)*(1-$E$4)+D70:OFFSET(D70,0,$F$6-$D$9)*(1-$F$4),D70:OFFSET(D70,0,$F$6-$D$9))),IFERROR(C70:OFFSET(C70,0,$F$6-$D$9)*(1-$E$4)+D70:OFFSET(D70,0,$F$6-$D$9)*(1-$F$4),D70:OFFSET(D70,0,$F$6-$D$9)))</f>
        <v>#REF!</v>
      </c>
    </row>
    <row r="73" spans="1:18" s="6" customFormat="1" x14ac:dyDescent="0.25">
      <c r="A73" s="40"/>
      <c r="B73" s="41"/>
      <c r="C73" s="1"/>
    </row>
    <row r="74" spans="1:18" s="1" customFormat="1" x14ac:dyDescent="0.25">
      <c r="A74" s="40"/>
      <c r="B74" s="41"/>
      <c r="C74" s="2" t="str">
        <f>"Discounted Cash Flow - "&amp;F8</f>
        <v>Discounted Cash Flow - Street Case</v>
      </c>
    </row>
    <row r="75" spans="1:18" s="10" customFormat="1" x14ac:dyDescent="0.25">
      <c r="A75" s="68" t="str">
        <f>""</f>
        <v/>
      </c>
      <c r="B75" s="69"/>
      <c r="D75" s="10" cm="1">
        <f t="array" aca="1" ref="D75" ca="1">IFERROR(IF($D$9:OFFSET($D$9,0,$F$6-$D$9)&lt;$D$6,TEXT($D$9:OFFSET($D$9,0,$F$6-$D$9),"0A"),TEXT($D$9:OFFSET($D$9,0,$F$6-$D$9),"0")&amp;"E"),1)</f>
        <v>1</v>
      </c>
    </row>
    <row r="76" spans="1:18" s="8" customFormat="1" x14ac:dyDescent="0.25">
      <c r="A76" s="62"/>
      <c r="B76" s="66"/>
      <c r="C76" s="3" t="str">
        <f>"Fiscal Year"</f>
        <v>Fiscal Year</v>
      </c>
      <c r="D76" s="8" cm="1">
        <f t="array" aca="1" ref="D76" ca="1">IFERROR(DATE($D$9:OFFSET($D$9,0,$F$6-$D$9),_xlfn.XLOOKUP(_xlfn.TEXTAFTER(_xlfn.TEXTBEFORE($C$5,"-"),": "),$G$4:$R$4,_xlfn.ANCHORARRAY($G$3)),$G$6),1)</f>
        <v>1</v>
      </c>
    </row>
    <row r="77" spans="1:18" s="1" customFormat="1" x14ac:dyDescent="0.25">
      <c r="A77" s="40"/>
      <c r="B77" s="41"/>
    </row>
    <row r="78" spans="1:18" s="17" customFormat="1" x14ac:dyDescent="0.25">
      <c r="A78" s="50"/>
      <c r="B78" s="41"/>
      <c r="C78" s="15" t="str">
        <f>$C$15</f>
        <v>Revenue</v>
      </c>
      <c r="D78" s="17" t="e">
        <f ca="1">CHOOSE($F$3,D107,D136,D165,D194)</f>
        <v>#VALUE!</v>
      </c>
      <c r="E78" s="17" cm="1">
        <f t="array" aca="1" ref="E78" ca="1">IFERROR(CHOOSE($F$3,_xlfn.ANCHORARRAY(E107),_xlfn.ANCHORARRAY(E136),_xlfn.ANCHORARRAY(E165),_xlfn.ANCHORARRAY(E194)),1)</f>
        <v>1</v>
      </c>
    </row>
    <row r="79" spans="1:18" s="12" customFormat="1" x14ac:dyDescent="0.25">
      <c r="A79" s="43"/>
      <c r="B79" s="41"/>
      <c r="C79" s="9" t="str">
        <f>$C$16</f>
        <v>% growth</v>
      </c>
      <c r="D79" s="23"/>
      <c r="E79" s="23" cm="1">
        <f t="array" aca="1" ref="E79" ca="1">IFERROR(CHOOSE($F$3,_xlfn.ANCHORARRAY(E108),_xlfn.ANCHORARRAY(E137),_xlfn.ANCHORARRAY(E166),_xlfn.ANCHORARRAY(E195)),1)</f>
        <v>1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1:18" s="6" customFormat="1" x14ac:dyDescent="0.25">
      <c r="A80" s="40"/>
      <c r="B80" s="41"/>
      <c r="C80" s="1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s="6" customFormat="1" x14ac:dyDescent="0.25">
      <c r="A81" s="40"/>
      <c r="B81" s="41"/>
      <c r="C81" s="1" t="str">
        <f>$C$21</f>
        <v>EBIT</v>
      </c>
      <c r="D81" s="17" cm="1">
        <f t="array" aca="1" ref="D81" ca="1">IFERROR(CHOOSE($F$3,_xlfn.ANCHORARRAY(D110),_xlfn.ANCHORARRAY(D139),_xlfn.ANCHORARRAY(D168),_xlfn.ANCHORARRAY(D197)),1)</f>
        <v>1</v>
      </c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s="12" customFormat="1" x14ac:dyDescent="0.25">
      <c r="A82" s="43"/>
      <c r="B82" s="41"/>
      <c r="C82" s="9" t="str">
        <f>$C$22</f>
        <v>% of Revenue</v>
      </c>
      <c r="D82" s="23" cm="1">
        <f t="array" aca="1" ref="D82" ca="1">IFERROR(CHOOSE($F$3,_xlfn.ANCHORARRAY(D111),_xlfn.ANCHORARRAY(D140),_xlfn.ANCHORARRAY(D169),_xlfn.ANCHORARRAY(D198)),1)</f>
        <v>1</v>
      </c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1:18" s="6" customFormat="1" x14ac:dyDescent="0.25">
      <c r="A83" s="40"/>
      <c r="B83" s="41"/>
      <c r="C83" s="1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s="6" customFormat="1" x14ac:dyDescent="0.25">
      <c r="A84" s="40"/>
      <c r="B84" s="41"/>
      <c r="C84" s="1" t="str">
        <f>$C$24</f>
        <v>Depreciation &amp; Amortization</v>
      </c>
      <c r="D84" s="17" cm="1">
        <f t="array" aca="1" ref="D84" ca="1">IFERROR(CHOOSE($F$3,_xlfn.ANCHORARRAY(D113),_xlfn.ANCHORARRAY(D142),_xlfn.ANCHORARRAY(D171),_xlfn.ANCHORARRAY(D200)),1)</f>
        <v>1</v>
      </c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s="12" customFormat="1" x14ac:dyDescent="0.25">
      <c r="A85" s="43"/>
      <c r="B85" s="41"/>
      <c r="C85" s="9" t="str">
        <f>$C$25</f>
        <v>% of Revenue</v>
      </c>
      <c r="D85" s="23" cm="1">
        <f t="array" aca="1" ref="D85" ca="1">IFERROR(CHOOSE($F$3,_xlfn.ANCHORARRAY(D114),_xlfn.ANCHORARRAY(D143),_xlfn.ANCHORARRAY(D172),_xlfn.ANCHORARRAY(D201)),1)</f>
        <v>1</v>
      </c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1:18" s="6" customFormat="1" x14ac:dyDescent="0.25">
      <c r="A86" s="40"/>
      <c r="B86" s="41"/>
      <c r="C86" s="1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s="6" customFormat="1" x14ac:dyDescent="0.25">
      <c r="A87" s="40"/>
      <c r="B87" s="41"/>
      <c r="C87" s="1" t="str">
        <f>$C$27</f>
        <v>Capital Expenditures</v>
      </c>
      <c r="D87" s="17" cm="1">
        <f t="array" aca="1" ref="D87" ca="1">IFERROR(CHOOSE($F$3,_xlfn.ANCHORARRAY(D116),_xlfn.ANCHORARRAY(D145),_xlfn.ANCHORARRAY(D174),_xlfn.ANCHORARRAY(D203)),1)</f>
        <v>1</v>
      </c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s="12" customFormat="1" x14ac:dyDescent="0.25">
      <c r="A88" s="43"/>
      <c r="B88" s="41"/>
      <c r="C88" s="9" t="str">
        <f>$C$28</f>
        <v>% of Revenue</v>
      </c>
      <c r="D88" s="23" cm="1">
        <f t="array" aca="1" ref="D88" ca="1">IFERROR(CHOOSE($F$3,_xlfn.ANCHORARRAY(D117),_xlfn.ANCHORARRAY(D146),_xlfn.ANCHORARRAY(D175),_xlfn.ANCHORARRAY(D204)),1)</f>
        <v>1</v>
      </c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1:18" s="6" customFormat="1" x14ac:dyDescent="0.25">
      <c r="A89" s="40"/>
      <c r="B89" s="41"/>
      <c r="C89" s="1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s="6" customFormat="1" x14ac:dyDescent="0.25">
      <c r="A90" s="40"/>
      <c r="B90" s="41"/>
      <c r="C90" s="1" t="str">
        <f>$C$36</f>
        <v>Change in Working Capital &amp; Other Non-Cash Expenses</v>
      </c>
      <c r="D90" s="17" cm="1">
        <f t="array" aca="1" ref="D90" ca="1">IFERROR(CHOOSE($F$3,_xlfn.ANCHORARRAY(D119),_xlfn.ANCHORARRAY(D148),_xlfn.ANCHORARRAY(D177),_xlfn.ANCHORARRAY(D206)),1)</f>
        <v>1</v>
      </c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s="12" customFormat="1" x14ac:dyDescent="0.25">
      <c r="A91" s="43"/>
      <c r="B91" s="41"/>
      <c r="C91" s="9" t="str">
        <f>$C$37</f>
        <v>% of Revenue</v>
      </c>
      <c r="D91" s="23" cm="1">
        <f t="array" aca="1" ref="D91" ca="1">IFERROR(CHOOSE($F$3,_xlfn.ANCHORARRAY(D120),_xlfn.ANCHORARRAY(D149),_xlfn.ANCHORARRAY(D178),_xlfn.ANCHORARRAY(D207)),1)</f>
        <v>1</v>
      </c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1:18" s="12" customFormat="1" x14ac:dyDescent="0.25">
      <c r="A92" s="43"/>
      <c r="B92" s="49"/>
      <c r="C92" s="9" t="str">
        <f>$C$38</f>
        <v>% of Change in Revenue</v>
      </c>
      <c r="D92" s="23"/>
      <c r="E92" s="23" t="e" cm="1">
        <f t="array" aca="1" ref="E92" ca="1">CHOOSE($F$3,_xlfn.ANCHORARRAY(E121),_xlfn.ANCHORARRAY(E150),_xlfn.ANCHORARRAY(E179),_xlfn.ANCHORARRAY(E208))</f>
        <v>#VALUE!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3" spans="1:18" s="6" customFormat="1" x14ac:dyDescent="0.25">
      <c r="A93" s="40"/>
      <c r="B93" s="41"/>
      <c r="C93" s="1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s="6" customFormat="1" x14ac:dyDescent="0.25">
      <c r="A94" s="40"/>
      <c r="B94" s="41"/>
      <c r="C94" s="1" t="str">
        <f>$C$40</f>
        <v>Normalized Taxes</v>
      </c>
      <c r="D94" s="17" cm="1">
        <f t="array" aca="1" ref="D94" ca="1">IFERROR(CHOOSE($F$3,_xlfn.ANCHORARRAY(D123),_xlfn.ANCHORARRAY(D152),_xlfn.ANCHORARRAY(D181),_xlfn.ANCHORARRAY(D210)),1)</f>
        <v>1</v>
      </c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s="12" customFormat="1" x14ac:dyDescent="0.25">
      <c r="A95" s="43"/>
      <c r="B95" s="49"/>
      <c r="C95" s="9" t="str">
        <f>$C$41</f>
        <v>Effective Tax Rate (%)</v>
      </c>
      <c r="D95" s="23" cm="1">
        <f t="array" aca="1" ref="D95" ca="1">IFERROR(CHOOSE($F$3,_xlfn.ANCHORARRAY(D124),_xlfn.ANCHORARRAY(D153),_xlfn.ANCHORARRAY(D182),_xlfn.ANCHORARRAY(D211)),1)</f>
        <v>1</v>
      </c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</row>
    <row r="96" spans="1:18" s="6" customFormat="1" x14ac:dyDescent="0.25">
      <c r="A96" s="40"/>
      <c r="B96" s="41"/>
      <c r="C96" s="1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s="6" customFormat="1" x14ac:dyDescent="0.25">
      <c r="A97" s="40"/>
      <c r="B97" s="41"/>
      <c r="C97" s="1" t="str">
        <f>$C$43</f>
        <v>EBIAT/NOPAT</v>
      </c>
      <c r="D97" s="17" cm="1">
        <f t="array" aca="1" ref="D97" ca="1">IFERROR(CHOOSE($F$3,_xlfn.ANCHORARRAY(D126),_xlfn.ANCHORARRAY(D155),_xlfn.ANCHORARRAY(D184),_xlfn.ANCHORARRAY(D213)),1)</f>
        <v>1</v>
      </c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s="12" customFormat="1" x14ac:dyDescent="0.25">
      <c r="A98" s="43"/>
      <c r="B98" s="49"/>
      <c r="C98" s="9" t="str">
        <f>$C$44</f>
        <v>% of Revenue</v>
      </c>
      <c r="D98" s="23" t="e" cm="1">
        <f t="array" aca="1" ref="D98" ca="1">CHOOSE($F$3,_xlfn.ANCHORARRAY(D127),_xlfn.ANCHORARRAY(D156),_xlfn.ANCHORARRAY(D185),_xlfn.ANCHORARRAY(D214))</f>
        <v>#VALUE!</v>
      </c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</row>
    <row r="99" spans="1:18" s="6" customFormat="1" x14ac:dyDescent="0.25">
      <c r="A99" s="40"/>
      <c r="B99" s="41"/>
      <c r="C99" s="1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s="6" customFormat="1" x14ac:dyDescent="0.25">
      <c r="A100" s="40"/>
      <c r="B100" s="41"/>
      <c r="C100" s="1" t="str">
        <f>$C$46</f>
        <v>Unlevered Free Cash Flow</v>
      </c>
      <c r="D100" s="17" cm="1">
        <f t="array" aca="1" ref="D100" ca="1">IFERROR(CHOOSE($F$3,_xlfn.ANCHORARRAY(D129),_xlfn.ANCHORARRAY(D158),_xlfn.ANCHORARRAY(D187),_xlfn.ANCHORARRAY(D216)),1)</f>
        <v>1</v>
      </c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s="12" customFormat="1" x14ac:dyDescent="0.25">
      <c r="A101" s="43"/>
      <c r="B101" s="49"/>
      <c r="C101" s="9" t="str">
        <f>$C$47</f>
        <v>% of Revenue</v>
      </c>
      <c r="D101" s="23" t="e" cm="1">
        <f t="array" aca="1" ref="D101" ca="1">CHOOSE($F$3,_xlfn.ANCHORARRAY(D130),_xlfn.ANCHORARRAY(D159),_xlfn.ANCHORARRAY(D188),_xlfn.ANCHORARRAY(D217))</f>
        <v>#VALUE!</v>
      </c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</row>
    <row r="102" spans="1:18" s="1" customFormat="1" x14ac:dyDescent="0.25">
      <c r="A102" s="40"/>
      <c r="B102" s="41"/>
    </row>
    <row r="103" spans="1:18" s="1" customFormat="1" outlineLevel="1" x14ac:dyDescent="0.25">
      <c r="A103" s="40"/>
      <c r="B103" s="41"/>
      <c r="C103" s="2" t="str">
        <f>"Analyst's Case"</f>
        <v>Analyst's Case</v>
      </c>
    </row>
    <row r="104" spans="1:18" s="7" customFormat="1" outlineLevel="1" x14ac:dyDescent="0.25">
      <c r="A104" s="70" t="str">
        <f>""</f>
        <v/>
      </c>
      <c r="B104" s="71"/>
      <c r="D104" s="7" cm="1">
        <f t="array" aca="1" ref="D104" ca="1">IFERROR(IF($D$9:OFFSET($D$9,0,$F$6-$D$9)&lt;$D$6,TEXT($D$9:OFFSET($D$9,0,$F$6-$D$9),"0A"),TEXT($D$9:OFFSET($D$9,0,$F$6-$D$9),"0")&amp;"E"),1)</f>
        <v>1</v>
      </c>
    </row>
    <row r="105" spans="1:18" s="8" customFormat="1" outlineLevel="1" x14ac:dyDescent="0.25">
      <c r="A105" s="62"/>
      <c r="B105" s="66"/>
      <c r="C105" s="3" t="str">
        <f>"Fiscal Year"</f>
        <v>Fiscal Year</v>
      </c>
      <c r="D105" s="8" cm="1">
        <f t="array" aca="1" ref="D105" ca="1">IFERROR(DATE($D$9:OFFSET($D$9,0,$F$6-$D$9),_xlfn.XLOOKUP(_xlfn.TEXTAFTER(_xlfn.TEXTBEFORE($C$5,"-"),": "),$G$4:$R$4,_xlfn.ANCHORARRAY($G$3)),$G$6),1)</f>
        <v>1</v>
      </c>
    </row>
    <row r="106" spans="1:18" s="1" customFormat="1" outlineLevel="1" x14ac:dyDescent="0.25">
      <c r="A106" s="40"/>
      <c r="B106" s="41"/>
    </row>
    <row r="107" spans="1:18" s="6" customFormat="1" outlineLevel="1" x14ac:dyDescent="0.25">
      <c r="A107" s="40"/>
      <c r="B107" s="41"/>
      <c r="C107" s="1" t="str">
        <f>$C$15</f>
        <v>Revenue</v>
      </c>
      <c r="D107" s="6" t="str">
        <f ca="1">D136</f>
        <v>NA</v>
      </c>
      <c r="E107" s="82" cm="1">
        <f t="array" aca="1" ref="E107" ca="1">IFERROR(_xlfn.LET(
  _xlpm.base, D107,
  _xlpm.growths,_xlfn.ANCHORARRAY( E108),
  _xlpm.result, _xlfn.SCAN(_xlpm.base, _xlpm.growths, _xlfn.LAMBDA(_xlpm.a,_xlpm.b, _xlpm.a * (1 + _xlpm.b))),
  _xlpm.result
),1)</f>
        <v>1</v>
      </c>
    </row>
    <row r="108" spans="1:18" s="12" customFormat="1" outlineLevel="1" x14ac:dyDescent="0.25">
      <c r="A108" s="43"/>
      <c r="B108" s="41"/>
      <c r="C108" s="9" t="str">
        <f>$C$16</f>
        <v>% growth</v>
      </c>
      <c r="E108" s="83" cm="1">
        <f t="array" aca="1" ref="E108" ca="1">_xlfn.LET(_xlpm.x,_xlfn.LET(
  _xlpm.original, _xlfn._xlws.FILTER(_xlfn.ANCHORARRAY(E137),_xlfn.ANCHORARRAY( E9) &lt; D6+3),
  _xlpm.start, INDEX(_xlpm.original, COLUMNS(_xlpm.original)),
  _xlpm.end, R6,
  _xlpm.steps, F6-D6-2,
  _xlpm.decay, _xlpm.start - (_xlpm.start - _xlpm.end) * (_xlfn.SEQUENCE(1, _xlpm.steps, 1, 1) / _xlpm.steps),
  _xlfn.HSTACK(_xlpm.original, _xlpm.decay)
),IF(D136="NA",1,_xlpm.x))</f>
        <v>1</v>
      </c>
    </row>
    <row r="109" spans="1:18" s="12" customFormat="1" outlineLevel="1" x14ac:dyDescent="0.25">
      <c r="A109" s="43"/>
      <c r="B109" s="49"/>
      <c r="C109" s="5"/>
    </row>
    <row r="110" spans="1:18" s="6" customFormat="1" outlineLevel="1" x14ac:dyDescent="0.25">
      <c r="A110" s="40"/>
      <c r="B110" s="41"/>
      <c r="C110" s="1" t="str">
        <f>$C$21</f>
        <v>EBIT</v>
      </c>
      <c r="D110" s="6" cm="1">
        <f t="array" aca="1" ref="D110" ca="1">IFERROR(_xlfn.ANCHORARRAY(D111)*D$107:OFFSET(D$107,0,$F$6-$D$9),1)</f>
        <v>1</v>
      </c>
    </row>
    <row r="111" spans="1:18" s="12" customFormat="1" outlineLevel="1" x14ac:dyDescent="0.25">
      <c r="A111" s="43"/>
      <c r="B111" s="41"/>
      <c r="C111" s="9" t="str">
        <f>$C$22</f>
        <v>% of Revenue</v>
      </c>
      <c r="D111" s="12" cm="1">
        <f t="array" aca="1" ref="D111" ca="1">IFERROR(_xlfn.ANCHORARRAY(D140),1)</f>
        <v>1</v>
      </c>
    </row>
    <row r="112" spans="1:18" s="6" customFormat="1" outlineLevel="1" x14ac:dyDescent="0.25">
      <c r="A112" s="40"/>
      <c r="B112" s="41"/>
      <c r="C112" s="21"/>
    </row>
    <row r="113" spans="1:5" s="6" customFormat="1" outlineLevel="1" x14ac:dyDescent="0.25">
      <c r="A113" s="40"/>
      <c r="B113" s="41"/>
      <c r="C113" s="1" t="str">
        <f>$C$24</f>
        <v>Depreciation &amp; Amortization</v>
      </c>
      <c r="D113" s="6" cm="1">
        <f t="array" aca="1" ref="D113" ca="1">IFERROR(_xlfn.ANCHORARRAY(D114)*D$107:OFFSET(D$107,0,$F$6-$D$9),1)</f>
        <v>1</v>
      </c>
    </row>
    <row r="114" spans="1:5" s="12" customFormat="1" outlineLevel="1" x14ac:dyDescent="0.25">
      <c r="A114" s="43"/>
      <c r="B114" s="41"/>
      <c r="C114" s="9" t="str">
        <f>$C$25</f>
        <v>% of Revenue</v>
      </c>
      <c r="D114" s="12" cm="1">
        <f t="array" aca="1" ref="D114" ca="1">IFERROR(_xlfn.ANCHORARRAY(D143),1)</f>
        <v>1</v>
      </c>
    </row>
    <row r="115" spans="1:5" s="6" customFormat="1" outlineLevel="1" x14ac:dyDescent="0.25">
      <c r="A115" s="40"/>
      <c r="B115" s="41"/>
      <c r="C115" s="1"/>
    </row>
    <row r="116" spans="1:5" s="6" customFormat="1" outlineLevel="1" x14ac:dyDescent="0.25">
      <c r="A116" s="40"/>
      <c r="B116" s="41"/>
      <c r="C116" s="1" t="str">
        <f>$C$27</f>
        <v>Capital Expenditures</v>
      </c>
      <c r="D116" s="6" cm="1">
        <f t="array" aca="1" ref="D116" ca="1">IFERROR(-_xlfn.ANCHORARRAY(D117)*D$107:OFFSET(D$107,0,$F$6-$D$9),1)</f>
        <v>1</v>
      </c>
    </row>
    <row r="117" spans="1:5" s="12" customFormat="1" outlineLevel="1" x14ac:dyDescent="0.25">
      <c r="A117" s="43"/>
      <c r="B117" s="41"/>
      <c r="C117" s="9" t="str">
        <f>$C$28</f>
        <v>% of Revenue</v>
      </c>
      <c r="D117" s="12" cm="1">
        <f t="array" aca="1" ref="D117" ca="1">IFERROR(_xlfn.ANCHORARRAY(D146),1)</f>
        <v>1</v>
      </c>
    </row>
    <row r="118" spans="1:5" s="6" customFormat="1" outlineLevel="1" x14ac:dyDescent="0.25">
      <c r="A118" s="40"/>
      <c r="B118" s="41"/>
      <c r="C118" s="1"/>
    </row>
    <row r="119" spans="1:5" s="6" customFormat="1" outlineLevel="1" x14ac:dyDescent="0.25">
      <c r="A119" s="40"/>
      <c r="B119" s="41"/>
      <c r="C119" s="1" t="str">
        <f>$C$36</f>
        <v>Change in Working Capital &amp; Other Non-Cash Expenses</v>
      </c>
      <c r="D119" s="6" cm="1">
        <f t="array" aca="1" ref="D119" ca="1">IFERROR(_xlfn.ANCHORARRAY(D120)*D$107:OFFSET(D$107,0,$F$6-$D$9),1)</f>
        <v>1</v>
      </c>
    </row>
    <row r="120" spans="1:5" s="12" customFormat="1" outlineLevel="1" x14ac:dyDescent="0.25">
      <c r="A120" s="43"/>
      <c r="B120" s="41"/>
      <c r="C120" s="9" t="str">
        <f>$C$37</f>
        <v>% of Revenue</v>
      </c>
      <c r="D120" s="12" cm="1">
        <f t="array" aca="1" ref="D120" ca="1">IFERROR(_xlfn.ANCHORARRAY(D149),1)</f>
        <v>1</v>
      </c>
    </row>
    <row r="121" spans="1:5" s="12" customFormat="1" outlineLevel="1" x14ac:dyDescent="0.25">
      <c r="A121" s="43"/>
      <c r="B121" s="49"/>
      <c r="C121" s="9" t="str">
        <f>$C$38</f>
        <v>% of Change in Revenue</v>
      </c>
      <c r="E121" s="12" t="str" cm="1">
        <f t="array" aca="1" ref="E121" ca="1">IFERROR(E119:OFFSET(E119,,$F$6-$D$9-1)/($E$107:OFFSET($E$107,,$F$6-$D$9-1)-$D$107:OFFSET($D$107,,$F$6-$D$9-1)),"NA ")</f>
        <v xml:space="preserve">NA </v>
      </c>
    </row>
    <row r="122" spans="1:5" s="6" customFormat="1" outlineLevel="1" x14ac:dyDescent="0.25">
      <c r="A122" s="40"/>
      <c r="B122" s="41"/>
      <c r="C122" s="1"/>
    </row>
    <row r="123" spans="1:5" s="6" customFormat="1" outlineLevel="1" x14ac:dyDescent="0.25">
      <c r="A123" s="40"/>
      <c r="B123" s="41"/>
      <c r="C123" s="1" t="str">
        <f>$C$40</f>
        <v>Normalized Taxes</v>
      </c>
      <c r="D123" s="6" cm="1">
        <f t="array" aca="1" ref="D123" ca="1">IFERROR(-_xlfn.ANCHORARRAY(D211)*D$110:OFFSET(D$110,0,$F$6-$D$9),1)</f>
        <v>1</v>
      </c>
    </row>
    <row r="124" spans="1:5" s="12" customFormat="1" outlineLevel="1" x14ac:dyDescent="0.25">
      <c r="A124" s="43"/>
      <c r="B124" s="49"/>
      <c r="C124" s="9" t="str">
        <f>$C$41</f>
        <v>Effective Tax Rate (%)</v>
      </c>
      <c r="D124" s="12" cm="1">
        <f t="array" aca="1" ref="D124" ca="1">IFERROR(_xlfn.ANCHORARRAY(D153),1)</f>
        <v>1</v>
      </c>
    </row>
    <row r="125" spans="1:5" s="6" customFormat="1" outlineLevel="1" x14ac:dyDescent="0.25">
      <c r="A125" s="40"/>
      <c r="B125" s="41"/>
      <c r="C125" s="1"/>
    </row>
    <row r="126" spans="1:5" s="6" customFormat="1" outlineLevel="1" x14ac:dyDescent="0.25">
      <c r="A126" s="40"/>
      <c r="B126" s="41"/>
      <c r="C126" s="1" t="str">
        <f>$C$43</f>
        <v>EBIAT/NOPAT</v>
      </c>
      <c r="D126" s="6" cm="1">
        <f t="array" aca="1" ref="D126" ca="1">IFERROR(_xlfn.ANCHORARRAY(D110)+_xlfn.ANCHORARRAY(D123),1)</f>
        <v>2</v>
      </c>
    </row>
    <row r="127" spans="1:5" s="12" customFormat="1" outlineLevel="1" x14ac:dyDescent="0.25">
      <c r="A127" s="43"/>
      <c r="B127" s="41"/>
      <c r="C127" s="9" t="str">
        <f>"% of Revenue"</f>
        <v>% of Revenue</v>
      </c>
      <c r="D127" s="12" t="str" cm="1">
        <f t="array" aca="1" ref="D127" ca="1">IFERROR(D126:OFFSET(D126,0,$F$6-$D$9)/D$107:OFFSET(D$107,0,$F$6-$D$9),"NA ")</f>
        <v xml:space="preserve">NA </v>
      </c>
    </row>
    <row r="128" spans="1:5" s="12" customFormat="1" outlineLevel="1" x14ac:dyDescent="0.25">
      <c r="A128" s="43"/>
      <c r="B128" s="49"/>
      <c r="C128" s="5"/>
    </row>
    <row r="129" spans="1:5" s="6" customFormat="1" outlineLevel="1" x14ac:dyDescent="0.25">
      <c r="A129" s="40"/>
      <c r="B129" s="41"/>
      <c r="C129" s="1" t="str">
        <f>$C$46</f>
        <v>Unlevered Free Cash Flow</v>
      </c>
      <c r="D129" s="6" cm="1">
        <f t="array" aca="1" ref="D129" ca="1">IFERROR(_xlfn.ANCHORARRAY(D126)+_xlfn.ANCHORARRAY(D119)+_xlfn.ANCHORARRAY(D116)+_xlfn.ANCHORARRAY(D113),1)</f>
        <v>5</v>
      </c>
    </row>
    <row r="130" spans="1:5" s="12" customFormat="1" outlineLevel="1" x14ac:dyDescent="0.25">
      <c r="A130" s="43"/>
      <c r="B130" s="41"/>
      <c r="C130" s="9" t="str">
        <f>"% of Revenue"</f>
        <v>% of Revenue</v>
      </c>
      <c r="D130" s="12" t="str" cm="1">
        <f t="array" aca="1" ref="D130" ca="1">IFERROR(D129:OFFSET(D129,0,$F$6-$D$9)/D$107:OFFSET(D$107,0,$F$6-$D$9),"NA ")</f>
        <v xml:space="preserve">NA </v>
      </c>
    </row>
    <row r="131" spans="1:5" s="1" customFormat="1" outlineLevel="1" x14ac:dyDescent="0.25">
      <c r="A131" s="40"/>
      <c r="B131" s="41"/>
    </row>
    <row r="132" spans="1:5" s="1" customFormat="1" outlineLevel="1" x14ac:dyDescent="0.25">
      <c r="A132" s="40"/>
      <c r="B132" s="41"/>
      <c r="C132" s="2" t="str">
        <f>"Street Case"</f>
        <v>Street Case</v>
      </c>
    </row>
    <row r="133" spans="1:5" s="7" customFormat="1" outlineLevel="1" x14ac:dyDescent="0.25">
      <c r="A133" s="70" t="str">
        <f>""</f>
        <v/>
      </c>
      <c r="B133" s="71"/>
      <c r="D133" s="7" cm="1">
        <f t="array" aca="1" ref="D133" ca="1">IFERROR(IF($D$9:OFFSET($D$9,0,$F$6-$D$9)&lt;$D$6,TEXT($D$9:OFFSET($D$9,0,$F$6-$D$9),"0A"),TEXT($D$9:OFFSET($D$9,0,$F$6-$D$9),"0")&amp;"E"),1)</f>
        <v>1</v>
      </c>
    </row>
    <row r="134" spans="1:5" s="8" customFormat="1" outlineLevel="1" x14ac:dyDescent="0.25">
      <c r="A134" s="62"/>
      <c r="B134" s="66"/>
      <c r="C134" s="3" t="str">
        <f>"Fiscal Year"</f>
        <v>Fiscal Year</v>
      </c>
      <c r="D134" s="8" cm="1">
        <f t="array" aca="1" ref="D134" ca="1">IFERROR(DATE($D$9:OFFSET($D$9,0,$F$6-$D$9),_xlfn.XLOOKUP(_xlfn.TEXTAFTER(_xlfn.TEXTBEFORE($C$5,"-"),": "),$G$4:$R$4,_xlfn.ANCHORARRAY($G$3)),$G$6),1)</f>
        <v>1</v>
      </c>
    </row>
    <row r="135" spans="1:5" s="1" customFormat="1" outlineLevel="1" x14ac:dyDescent="0.25">
      <c r="A135" s="40"/>
      <c r="B135" s="41"/>
    </row>
    <row r="136" spans="1:5" s="6" customFormat="1" outlineLevel="1" x14ac:dyDescent="0.25">
      <c r="A136" s="40"/>
      <c r="B136" s="41"/>
      <c r="C136" s="1" t="str">
        <f>$C$15</f>
        <v>Revenue</v>
      </c>
      <c r="D136" s="6" t="str">
        <f ca="1">D15</f>
        <v>NA</v>
      </c>
      <c r="E136" s="82" cm="1">
        <f t="array" aca="1" ref="E136" ca="1">IFERROR(_xlfn.LET(
  _xlpm.base, D136,
  _xlpm.growths,_xlfn.ANCHORARRAY( E137),
  _xlpm.result, _xlfn.SCAN(_xlpm.base, _xlpm.growths, _xlfn.LAMBDA(_xlpm.a,_xlpm.b, _xlpm.a * (1 + _xlpm.b))),
  _xlpm.result
),1)</f>
        <v>1</v>
      </c>
    </row>
    <row r="137" spans="1:5" s="12" customFormat="1" outlineLevel="1" x14ac:dyDescent="0.25">
      <c r="A137" s="43"/>
      <c r="B137" s="41"/>
      <c r="C137" s="9" t="str">
        <f>$C$16</f>
        <v>% growth</v>
      </c>
      <c r="D137" s="20"/>
      <c r="E137" s="12" cm="1">
        <f t="array" aca="1" ref="E137" ca="1">IFERROR(IF(_xlfn.ANCHORARRAY(E16)="NA ",LOOKUP(2,1/(ISNUMBER(_xlfn.ANCHORARRAY(E16))),_xlfn.ANCHORARRAY(E16)),_xlfn.ANCHORARRAY(E16)),1)</f>
        <v>1</v>
      </c>
    </row>
    <row r="138" spans="1:5" s="6" customFormat="1" outlineLevel="1" x14ac:dyDescent="0.25">
      <c r="A138" s="40"/>
      <c r="B138" s="41"/>
      <c r="C138" s="1"/>
    </row>
    <row r="139" spans="1:5" s="6" customFormat="1" outlineLevel="1" x14ac:dyDescent="0.25">
      <c r="A139" s="40"/>
      <c r="B139" s="41"/>
      <c r="C139" s="1" t="str">
        <f>$C$21</f>
        <v>EBIT</v>
      </c>
      <c r="D139" s="6" cm="1">
        <f t="array" aca="1" ref="D139" ca="1">IFERROR(_xlfn.ANCHORARRAY(D140)*D$136:OFFSET(D$136,0,$F$6-$D$9),1)</f>
        <v>1</v>
      </c>
    </row>
    <row r="140" spans="1:5" s="12" customFormat="1" outlineLevel="1" x14ac:dyDescent="0.25">
      <c r="A140" s="43"/>
      <c r="B140" s="41"/>
      <c r="C140" s="9" t="str">
        <f>$C$22</f>
        <v>% of Revenue</v>
      </c>
      <c r="D140" s="12" cm="1">
        <f t="array" aca="1" ref="D140" ca="1">IFERROR(IF(_xlfn.ANCHORARRAY(D22)="NA ",LOOKUP(2,1/(ISNUMBER(_xlfn.ANCHORARRAY(D22))),_xlfn.ANCHORARRAY(D22)),_xlfn.ANCHORARRAY(D22)),1)</f>
        <v>1</v>
      </c>
    </row>
    <row r="141" spans="1:5" s="6" customFormat="1" outlineLevel="1" x14ac:dyDescent="0.25">
      <c r="A141" s="40"/>
      <c r="B141" s="41"/>
      <c r="C141" s="1"/>
    </row>
    <row r="142" spans="1:5" s="6" customFormat="1" outlineLevel="1" x14ac:dyDescent="0.25">
      <c r="A142" s="40"/>
      <c r="B142" s="41"/>
      <c r="C142" s="1" t="str">
        <f>$C$24</f>
        <v>Depreciation &amp; Amortization</v>
      </c>
      <c r="D142" s="6" cm="1">
        <f t="array" aca="1" ref="D142" ca="1">IFERROR(_xlfn.ANCHORARRAY(D143)*D$136:OFFSET(D$136,0,$F$6-$D$9),1)</f>
        <v>1</v>
      </c>
    </row>
    <row r="143" spans="1:5" s="12" customFormat="1" outlineLevel="1" x14ac:dyDescent="0.25">
      <c r="A143" s="43"/>
      <c r="B143" s="41"/>
      <c r="C143" s="9" t="str">
        <f>$C$25</f>
        <v>% of Revenue</v>
      </c>
      <c r="D143" s="12" cm="1">
        <f t="array" aca="1" ref="D143" ca="1">IFERROR(IF(_xlfn.ANCHORARRAY(D25)="NA ",LOOKUP(2,1/(ISNUMBER(_xlfn.ANCHORARRAY(D25))),_xlfn.ANCHORARRAY(D25)),_xlfn.ANCHORARRAY(D25)),1)</f>
        <v>1</v>
      </c>
    </row>
    <row r="144" spans="1:5" s="6" customFormat="1" outlineLevel="1" x14ac:dyDescent="0.25">
      <c r="A144" s="40"/>
      <c r="B144" s="41"/>
      <c r="C144" s="1"/>
    </row>
    <row r="145" spans="1:5" s="6" customFormat="1" outlineLevel="1" x14ac:dyDescent="0.25">
      <c r="A145" s="40"/>
      <c r="B145" s="41"/>
      <c r="C145" s="1" t="str">
        <f>$C$27</f>
        <v>Capital Expenditures</v>
      </c>
      <c r="D145" s="6" cm="1">
        <f t="array" aca="1" ref="D145" ca="1">IFERROR(-_xlfn.ANCHORARRAY(D146)*D$136:OFFSET(D$136,0,$F$6-$D$9),1)</f>
        <v>1</v>
      </c>
    </row>
    <row r="146" spans="1:5" s="12" customFormat="1" outlineLevel="1" x14ac:dyDescent="0.25">
      <c r="A146" s="43"/>
      <c r="B146" s="41"/>
      <c r="C146" s="9" t="str">
        <f>$C$28</f>
        <v>% of Revenue</v>
      </c>
      <c r="D146" s="12" cm="1">
        <f t="array" aca="1" ref="D146" ca="1">IFERROR(IF(_xlfn.ANCHORARRAY(D28)="NA ",LOOKUP(2,1/(ISNUMBER(_xlfn.ANCHORARRAY(D28))),_xlfn.ANCHORARRAY(D28)),_xlfn.ANCHORARRAY(D28)),1)</f>
        <v>1</v>
      </c>
    </row>
    <row r="147" spans="1:5" s="6" customFormat="1" outlineLevel="1" x14ac:dyDescent="0.25">
      <c r="A147" s="40"/>
      <c r="B147" s="41"/>
      <c r="C147" s="1"/>
    </row>
    <row r="148" spans="1:5" s="6" customFormat="1" outlineLevel="1" x14ac:dyDescent="0.25">
      <c r="A148" s="40"/>
      <c r="B148" s="41"/>
      <c r="C148" s="1" t="str">
        <f>$C$36</f>
        <v>Change in Working Capital &amp; Other Non-Cash Expenses</v>
      </c>
      <c r="D148" s="6" cm="1">
        <f t="array" aca="1" ref="D148" ca="1">IFERROR(_xlfn.ANCHORARRAY(D149)*D$136:OFFSET(D$136,0,$F$6-$D$9),1)</f>
        <v>1</v>
      </c>
    </row>
    <row r="149" spans="1:5" s="12" customFormat="1" outlineLevel="1" x14ac:dyDescent="0.25">
      <c r="A149" s="43"/>
      <c r="B149" s="41"/>
      <c r="C149" s="9" t="str">
        <f>$C$37</f>
        <v>% of Revenue</v>
      </c>
      <c r="D149" s="12" cm="1">
        <f t="array" aca="1" ref="D149" ca="1">IFERROR(IF(_xlfn.ANCHORARRAY(D37)="NA ",LOOKUP(2,1/(ISNUMBER(_xlfn.ANCHORARRAY(D37))),_xlfn.ANCHORARRAY(D37)),_xlfn.ANCHORARRAY(D37)),1)</f>
        <v>1</v>
      </c>
    </row>
    <row r="150" spans="1:5" s="12" customFormat="1" outlineLevel="1" x14ac:dyDescent="0.25">
      <c r="A150" s="43"/>
      <c r="B150" s="49"/>
      <c r="C150" s="9" t="str">
        <f>"% of Change in Revenue"</f>
        <v>% of Change in Revenue</v>
      </c>
      <c r="E150" s="12" t="str" cm="1">
        <f t="array" aca="1" ref="E150" ca="1">IFERROR(E148:OFFSET(E148,,$F$6-$D$9-1)/($E$136:OFFSET($E$136,,$F$6-$D$9-1)-$D$136:OFFSET($D$136,,$F$6-$D$9-1)),"NA ")</f>
        <v xml:space="preserve">NA </v>
      </c>
    </row>
    <row r="151" spans="1:5" s="6" customFormat="1" outlineLevel="1" x14ac:dyDescent="0.25">
      <c r="A151" s="40"/>
      <c r="B151" s="41"/>
      <c r="C151" s="1"/>
    </row>
    <row r="152" spans="1:5" s="6" customFormat="1" outlineLevel="1" x14ac:dyDescent="0.25">
      <c r="A152" s="40"/>
      <c r="B152" s="41"/>
      <c r="C152" s="1" t="str">
        <f>$C$40</f>
        <v>Normalized Taxes</v>
      </c>
      <c r="D152" s="6" cm="1">
        <f t="array" aca="1" ref="D152" ca="1">IFERROR(-_xlfn.ANCHORARRAY(D153)*D$139:OFFSET(D$139,0,$F$6-$D$9),1)</f>
        <v>1</v>
      </c>
    </row>
    <row r="153" spans="1:5" s="12" customFormat="1" outlineLevel="1" x14ac:dyDescent="0.25">
      <c r="A153" s="43"/>
      <c r="B153" s="49"/>
      <c r="C153" s="9" t="str">
        <f>$C$41</f>
        <v>Effective Tax Rate (%)</v>
      </c>
      <c r="D153" s="12" cm="1">
        <f t="array" aca="1" ref="D153" ca="1">IFERROR(IF(_xlfn.ANCHORARRAY(D41)="NA ",LOOKUP(2,1/(ISNUMBER(_xlfn.ANCHORARRAY(D41))),_xlfn.ANCHORARRAY(D41)),_xlfn.ANCHORARRAY(D41)),1)</f>
        <v>1</v>
      </c>
    </row>
    <row r="154" spans="1:5" s="6" customFormat="1" outlineLevel="1" x14ac:dyDescent="0.25">
      <c r="A154" s="40"/>
      <c r="B154" s="41"/>
      <c r="C154" s="1"/>
    </row>
    <row r="155" spans="1:5" s="6" customFormat="1" outlineLevel="1" x14ac:dyDescent="0.25">
      <c r="A155" s="40"/>
      <c r="B155" s="41"/>
      <c r="C155" s="1" t="str">
        <f>$C$43</f>
        <v>EBIAT/NOPAT</v>
      </c>
      <c r="D155" s="6" cm="1">
        <f t="array" aca="1" ref="D155" ca="1">IFERROR(_xlfn.ANCHORARRAY(D139)+_xlfn.ANCHORARRAY(D152),1)</f>
        <v>2</v>
      </c>
    </row>
    <row r="156" spans="1:5" s="12" customFormat="1" outlineLevel="1" x14ac:dyDescent="0.25">
      <c r="A156" s="43"/>
      <c r="B156" s="41"/>
      <c r="C156" s="9" t="str">
        <f>"% of Revenue"</f>
        <v>% of Revenue</v>
      </c>
      <c r="D156" s="12" t="str" cm="1">
        <f t="array" aca="1" ref="D156" ca="1">IFERROR(D155:OFFSET(D155,0,$F$6-$D$9)/D$136:OFFSET(D$136,0,$F$6-$D$9),"NA ")</f>
        <v xml:space="preserve">NA </v>
      </c>
    </row>
    <row r="157" spans="1:5" s="6" customFormat="1" outlineLevel="1" x14ac:dyDescent="0.25">
      <c r="A157" s="40"/>
      <c r="B157" s="41"/>
      <c r="C157" s="1"/>
    </row>
    <row r="158" spans="1:5" s="6" customFormat="1" outlineLevel="1" x14ac:dyDescent="0.25">
      <c r="A158" s="40"/>
      <c r="B158" s="41"/>
      <c r="C158" s="1" t="str">
        <f>$C$46</f>
        <v>Unlevered Free Cash Flow</v>
      </c>
      <c r="D158" s="6" cm="1">
        <f t="array" aca="1" ref="D158" ca="1">IFERROR(_xlfn.ANCHORARRAY(D155)+_xlfn.ANCHORARRAY(D148)+_xlfn.ANCHORARRAY(D145)+_xlfn.ANCHORARRAY(D142),1)</f>
        <v>5</v>
      </c>
    </row>
    <row r="159" spans="1:5" s="12" customFormat="1" outlineLevel="1" x14ac:dyDescent="0.25">
      <c r="A159" s="43"/>
      <c r="B159" s="41"/>
      <c r="C159" s="9" t="str">
        <f>"% of Revenue"</f>
        <v>% of Revenue</v>
      </c>
      <c r="D159" s="12" t="str" cm="1">
        <f t="array" aca="1" ref="D159" ca="1">IFERROR(D158:OFFSET(D158,0,$F$6-$D$9)/D$136:OFFSET(D$136,0,$F$6-$D$9),"NA ")</f>
        <v xml:space="preserve">NA </v>
      </c>
    </row>
    <row r="160" spans="1:5" s="1" customFormat="1" outlineLevel="1" x14ac:dyDescent="0.25">
      <c r="A160" s="40"/>
      <c r="B160" s="41"/>
    </row>
    <row r="161" spans="1:18" s="1" customFormat="1" outlineLevel="1" x14ac:dyDescent="0.25">
      <c r="A161" s="40"/>
      <c r="B161" s="41"/>
      <c r="C161" s="2" t="str">
        <f>"Optimistic Case"</f>
        <v>Optimistic Case</v>
      </c>
    </row>
    <row r="162" spans="1:18" s="7" customFormat="1" outlineLevel="1" x14ac:dyDescent="0.25">
      <c r="A162" s="70" t="str">
        <f>""</f>
        <v/>
      </c>
      <c r="B162" s="71"/>
      <c r="D162" s="7" cm="1">
        <f t="array" aca="1" ref="D162" ca="1">IFERROR(IF($D$9:OFFSET($D$9,0,$F$6-$D$9)&lt;$D$6,TEXT($D$9:OFFSET($D$9,0,$F$6-$D$9),"0A"),TEXT($D$9:OFFSET($D$9,0,$F$6-$D$9),"0")&amp;"E"),1)</f>
        <v>1</v>
      </c>
    </row>
    <row r="163" spans="1:18" s="8" customFormat="1" outlineLevel="1" x14ac:dyDescent="0.25">
      <c r="A163" s="62"/>
      <c r="B163" s="66"/>
      <c r="C163" s="3" t="str">
        <f>"Fiscal Year"</f>
        <v>Fiscal Year</v>
      </c>
      <c r="D163" s="8" cm="1">
        <f t="array" aca="1" ref="D163" ca="1">IFERROR(DATE($D$9:OFFSET($D$9,0,$F$6-$D$9),_xlfn.XLOOKUP(_xlfn.TEXTAFTER(_xlfn.TEXTBEFORE($C$5,"-"),": "),$G$4:$R$4,_xlfn.ANCHORARRAY($G$3)),$G$6),1)</f>
        <v>1</v>
      </c>
    </row>
    <row r="164" spans="1:18" s="1" customFormat="1" outlineLevel="1" x14ac:dyDescent="0.25">
      <c r="A164" s="40"/>
      <c r="B164" s="41"/>
    </row>
    <row r="165" spans="1:18" s="42" customFormat="1" outlineLevel="1" x14ac:dyDescent="0.25">
      <c r="A165" s="40"/>
      <c r="B165" s="41"/>
      <c r="C165" s="40" t="str">
        <f>$C$15</f>
        <v>Revenue</v>
      </c>
      <c r="D165" s="42" t="str">
        <f ca="1">D136</f>
        <v>NA</v>
      </c>
      <c r="E165" s="84" cm="1">
        <f t="array" aca="1" ref="E165" ca="1">IFERROR(_xlfn.LET(
  _xlpm.base, D165,
  _xlpm.growths,_xlfn.ANCHORARRAY( E166),
  _xlpm.result, _xlfn.SCAN(_xlpm.base, _xlpm.growths, _xlfn.LAMBDA(_xlpm.a,_xlpm.b, _xlpm.a * (1 + _xlpm.b))),
  _xlpm.result
),1)</f>
        <v>1</v>
      </c>
    </row>
    <row r="166" spans="1:18" s="45" customFormat="1" outlineLevel="1" x14ac:dyDescent="0.25">
      <c r="A166" s="43"/>
      <c r="B166" s="41"/>
      <c r="C166" s="44" t="str">
        <f>$C$16</f>
        <v>% growth</v>
      </c>
      <c r="E166" s="45" cm="1">
        <f t="array" aca="1" ref="E166" ca="1">IFERROR(_xlfn.ANCHORARRAY(E137)+E167:OFFSET(E167,,$F$6-$C$6-1),1)</f>
        <v>1</v>
      </c>
    </row>
    <row r="167" spans="1:18" s="48" customFormat="1" outlineLevel="1" x14ac:dyDescent="0.25">
      <c r="A167" s="41"/>
      <c r="B167" s="41"/>
      <c r="C167" s="46" t="e" cm="1">
        <f t="array" aca="1" ref="C167" ca="1">_xlfn.STDEV.S(_xlfn._xlws.FILTER(_xlfn.ANCHORARRAY(E137), (_xlfn.ANCHORARRAY(E137) &gt;= _xlfn.QUARTILE.INC(_xlfn.ANCHORARRAY(E137),1) - 1.5*(_xlfn.QUARTILE.INC(_xlfn.ANCHORARRAY(E137),3) - _xlfn.QUARTILE.INC(_xlfn.ANCHORARRAY(E137),1))) * (_xlfn.ANCHORARRAY(E137) &lt;= _xlfn.QUARTILE.INC(_xlfn.ANCHORARRAY(E137),3) + 1.5*(_xlfn.QUARTILE.INC(_xlfn.ANCHORARRAY(E137),3) - _xlfn.QUARTILE.INC(_xlfn.ANCHORARRAY(E137),1)))))</f>
        <v>#DIV/0!</v>
      </c>
      <c r="D167" s="47" t="e" cm="1">
        <f t="array" aca="1" ref="D167" ca="1">(1-_xlfn.ANCHORARRAY($D$10))*C167</f>
        <v>#DIV/0!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</row>
    <row r="168" spans="1:18" s="42" customFormat="1" outlineLevel="1" x14ac:dyDescent="0.25">
      <c r="A168" s="40"/>
      <c r="B168" s="41"/>
      <c r="C168" s="40" t="str">
        <f>$C$21</f>
        <v>EBIT</v>
      </c>
      <c r="D168" s="42" cm="1">
        <f t="array" aca="1" ref="D168" ca="1">IFERROR(_xlfn.ANCHORARRAY(D169)*D$165:OFFSET(D$165,0,$F$6-$D$9),1)</f>
        <v>1</v>
      </c>
    </row>
    <row r="169" spans="1:18" s="45" customFormat="1" outlineLevel="1" x14ac:dyDescent="0.25">
      <c r="A169" s="43"/>
      <c r="B169" s="41"/>
      <c r="C169" s="44" t="str">
        <f>$C$22</f>
        <v>% of Revenue</v>
      </c>
      <c r="D169" s="45" cm="1">
        <f t="array" aca="1" ref="D169" ca="1">IFERROR(_xlfn.ANCHORARRAY(D140)+_xlfn.ANCHORARRAY(D170),1)</f>
        <v>1</v>
      </c>
    </row>
    <row r="170" spans="1:18" s="48" customFormat="1" outlineLevel="1" x14ac:dyDescent="0.25">
      <c r="A170" s="41"/>
      <c r="B170" s="41"/>
      <c r="C170" s="46" t="e" cm="1">
        <f t="array" aca="1" ref="C170" ca="1">_xlfn.STDEV.S(_xlfn._xlws.FILTER(_xlfn.ANCHORARRAY(D140), (_xlfn.ANCHORARRAY(D140) &gt;= _xlfn.QUARTILE.INC(_xlfn.ANCHORARRAY(D140),1) - 1.5*(_xlfn.QUARTILE.INC(_xlfn.ANCHORARRAY(D140),3) - _xlfn.QUARTILE.INC(_xlfn.ANCHORARRAY(D140),1))) * (_xlfn.ANCHORARRAY(D140) &lt;= _xlfn.QUARTILE.INC(_xlfn.ANCHORARRAY(D140),3) + 1.5*(_xlfn.QUARTILE.INC(_xlfn.ANCHORARRAY(D140),3) - _xlfn.QUARTILE.INC(_xlfn.ANCHORARRAY(D140),1)))))</f>
        <v>#DIV/0!</v>
      </c>
      <c r="D170" s="47" t="e" cm="1">
        <f t="array" aca="1" ref="D170" ca="1">(1-_xlfn.ANCHORARRAY($D$10))*C170</f>
        <v>#DIV/0!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</row>
    <row r="171" spans="1:18" s="42" customFormat="1" outlineLevel="1" x14ac:dyDescent="0.25">
      <c r="A171" s="40"/>
      <c r="B171" s="41"/>
      <c r="C171" s="40" t="str">
        <f>$C$24</f>
        <v>Depreciation &amp; Amortization</v>
      </c>
      <c r="D171" s="42" cm="1">
        <f t="array" aca="1" ref="D171" ca="1">IFERROR(_xlfn.ANCHORARRAY(D172)*D$165:OFFSET(D$165,0,$F$6-$D$9),1)</f>
        <v>1</v>
      </c>
    </row>
    <row r="172" spans="1:18" s="45" customFormat="1" outlineLevel="1" x14ac:dyDescent="0.25">
      <c r="A172" s="43"/>
      <c r="B172" s="41"/>
      <c r="C172" s="44" t="str">
        <f>$C$25</f>
        <v>% of Revenue</v>
      </c>
      <c r="D172" s="45" cm="1">
        <f t="array" aca="1" ref="D172" ca="1">IFERROR(_xlfn.ANCHORARRAY(D143)+_xlfn.ANCHORARRAY(D173),1)</f>
        <v>1</v>
      </c>
    </row>
    <row r="173" spans="1:18" s="48" customFormat="1" outlineLevel="1" x14ac:dyDescent="0.25">
      <c r="A173" s="41"/>
      <c r="B173" s="41"/>
      <c r="C173" s="46" t="e" cm="1">
        <f t="array" aca="1" ref="C173" ca="1">_xlfn.STDEV.S(_xlfn._xlws.FILTER(_xlfn.ANCHORARRAY(D143), (_xlfn.ANCHORARRAY(D143) &gt;= _xlfn.QUARTILE.INC(_xlfn.ANCHORARRAY(D143),1) - 1.5*(_xlfn.QUARTILE.INC(_xlfn.ANCHORARRAY(D143),3) - _xlfn.QUARTILE.INC(_xlfn.ANCHORARRAY(D143),1))) * (_xlfn.ANCHORARRAY(D143) &lt;= _xlfn.QUARTILE.INC(_xlfn.ANCHORARRAY(D143),3) + 1.5*(_xlfn.QUARTILE.INC(_xlfn.ANCHORARRAY(D143),3) - _xlfn.QUARTILE.INC(_xlfn.ANCHORARRAY(D143),1)))))</f>
        <v>#DIV/0!</v>
      </c>
      <c r="D173" s="47" t="e" cm="1">
        <f t="array" aca="1" ref="D173" ca="1">(1-_xlfn.ANCHORARRAY($D$10))*C173</f>
        <v>#DIV/0!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</row>
    <row r="174" spans="1:18" s="42" customFormat="1" outlineLevel="1" x14ac:dyDescent="0.25">
      <c r="A174" s="40"/>
      <c r="B174" s="41"/>
      <c r="C174" s="40" t="str">
        <f>$C$27</f>
        <v>Capital Expenditures</v>
      </c>
      <c r="D174" s="42" cm="1">
        <f t="array" aca="1" ref="D174" ca="1">IFERROR(-_xlfn.ANCHORARRAY(D175)*D$165:OFFSET(D$165,0,$F$6-$D$9),1)</f>
        <v>1</v>
      </c>
    </row>
    <row r="175" spans="1:18" s="45" customFormat="1" outlineLevel="1" x14ac:dyDescent="0.25">
      <c r="A175" s="43"/>
      <c r="B175" s="41"/>
      <c r="C175" s="44" t="str">
        <f>$C$28</f>
        <v>% of Revenue</v>
      </c>
      <c r="D175" s="45" cm="1">
        <f t="array" aca="1" ref="D175" ca="1">IFERROR(_xlfn.ANCHORARRAY(D146)-_xlfn.ANCHORARRAY(D176),1)</f>
        <v>1</v>
      </c>
    </row>
    <row r="176" spans="1:18" s="48" customFormat="1" outlineLevel="1" x14ac:dyDescent="0.25">
      <c r="A176" s="41"/>
      <c r="B176" s="41"/>
      <c r="C176" s="46" t="e" cm="1">
        <f t="array" aca="1" ref="C176" ca="1">_xlfn.STDEV.S(_xlfn._xlws.FILTER(_xlfn.ANCHORARRAY(D146), (_xlfn.ANCHORARRAY(D146) &gt;= _xlfn.QUARTILE.INC(_xlfn.ANCHORARRAY(D146),1) - 1.5*(_xlfn.QUARTILE.INC(_xlfn.ANCHORARRAY(D146),3) - _xlfn.QUARTILE.INC(_xlfn.ANCHORARRAY(D146),1))) * (_xlfn.ANCHORARRAY(D146) &lt;= _xlfn.QUARTILE.INC(_xlfn.ANCHORARRAY(D146),3) + 1.5*(_xlfn.QUARTILE.INC(_xlfn.ANCHORARRAY(D146),3) - _xlfn.QUARTILE.INC(_xlfn.ANCHORARRAY(D146),1)))))</f>
        <v>#DIV/0!</v>
      </c>
      <c r="D176" s="47" t="e" cm="1">
        <f t="array" aca="1" ref="D176" ca="1">(1-_xlfn.ANCHORARRAY($D$10))*C176</f>
        <v>#DIV/0!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</row>
    <row r="177" spans="1:18" s="42" customFormat="1" outlineLevel="1" x14ac:dyDescent="0.25">
      <c r="A177" s="40"/>
      <c r="B177" s="41"/>
      <c r="C177" s="40" t="str">
        <f>$C$36</f>
        <v>Change in Working Capital &amp; Other Non-Cash Expenses</v>
      </c>
      <c r="D177" s="42" cm="1">
        <f t="array" aca="1" ref="D177" ca="1">IFERROR(_xlfn.ANCHORARRAY(D178)*D$165:OFFSET(D$165,0,$F$6-$D$9),1)</f>
        <v>1</v>
      </c>
    </row>
    <row r="178" spans="1:18" s="45" customFormat="1" outlineLevel="1" x14ac:dyDescent="0.25">
      <c r="A178" s="43"/>
      <c r="B178" s="41"/>
      <c r="C178" s="44" t="str">
        <f>$C$37</f>
        <v>% of Revenue</v>
      </c>
      <c r="D178" s="45" cm="1">
        <f t="array" aca="1" ref="D178" ca="1">IFERROR(_xlfn.ANCHORARRAY(D149)+_xlfn.ANCHORARRAY(D180),1)</f>
        <v>1</v>
      </c>
    </row>
    <row r="179" spans="1:18" s="45" customFormat="1" outlineLevel="1" x14ac:dyDescent="0.25">
      <c r="A179" s="43"/>
      <c r="B179" s="49"/>
      <c r="C179" s="44" t="str">
        <f>"% of Change in Revenue"</f>
        <v>% of Change in Revenue</v>
      </c>
      <c r="E179" s="45" t="str" cm="1">
        <f t="array" aca="1" ref="E179" ca="1">IFERROR(E177:OFFSET(E177,,$F$6-$D$9-1)/($E$165:OFFSET($E$165,,$F$6-$D$9-1)-$D$165:OFFSET($D$165,,$F$6-$D$9-1)),"NA ")</f>
        <v xml:space="preserve">NA </v>
      </c>
    </row>
    <row r="180" spans="1:18" s="48" customFormat="1" outlineLevel="1" x14ac:dyDescent="0.25">
      <c r="A180" s="41"/>
      <c r="B180" s="41"/>
      <c r="C180" s="46" t="e" cm="1">
        <f t="array" aca="1" ref="C180" ca="1">_xlfn.STDEV.S(_xlfn._xlws.FILTER(_xlfn.ANCHORARRAY(D149), (_xlfn.ANCHORARRAY(D149) &gt;= _xlfn.QUARTILE.INC(_xlfn.ANCHORARRAY(D149),1) - 1.5*(_xlfn.QUARTILE.INC(_xlfn.ANCHORARRAY(D149),3) - _xlfn.QUARTILE.INC(_xlfn.ANCHORARRAY(D149),1))) * (_xlfn.ANCHORARRAY(D149) &lt;= _xlfn.QUARTILE.INC(_xlfn.ANCHORARRAY(D149),3) + 1.5*(_xlfn.QUARTILE.INC(_xlfn.ANCHORARRAY(D149),3) - _xlfn.QUARTILE.INC(_xlfn.ANCHORARRAY(D149),1)))))</f>
        <v>#DIV/0!</v>
      </c>
      <c r="D180" s="47" t="e" cm="1">
        <f t="array" aca="1" ref="D180" ca="1">(1-_xlfn.ANCHORARRAY($D$10))*C180</f>
        <v>#DIV/0!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</row>
    <row r="181" spans="1:18" s="42" customFormat="1" outlineLevel="1" x14ac:dyDescent="0.25">
      <c r="A181" s="40"/>
      <c r="B181" s="41"/>
      <c r="C181" s="40" t="str">
        <f>$C$40</f>
        <v>Normalized Taxes</v>
      </c>
      <c r="D181" s="42" cm="1">
        <f t="array" aca="1" ref="D181" ca="1">IFERROR(-_xlfn.ANCHORARRAY(D182)*D$168:OFFSET(D$168,0,$F$6-$D$9),1)</f>
        <v>1</v>
      </c>
    </row>
    <row r="182" spans="1:18" s="45" customFormat="1" outlineLevel="1" x14ac:dyDescent="0.25">
      <c r="A182" s="43"/>
      <c r="B182" s="49"/>
      <c r="C182" s="44" t="str">
        <f>$C$41</f>
        <v>Effective Tax Rate (%)</v>
      </c>
      <c r="D182" s="45" cm="1">
        <f t="array" aca="1" ref="D182" ca="1">IFERROR(-_xlfn.ANCHORARRAY(D183)+_xlfn.ANCHORARRAY(D153),1)</f>
        <v>1</v>
      </c>
    </row>
    <row r="183" spans="1:18" s="48" customFormat="1" outlineLevel="1" x14ac:dyDescent="0.25">
      <c r="A183" s="41"/>
      <c r="B183" s="41"/>
      <c r="C183" s="46" t="e" cm="1">
        <f t="array" aca="1" ref="C183" ca="1">_xlfn.STDEV.S(_xlfn._xlws.FILTER(_xlfn.ANCHORARRAY(D153), (_xlfn.ANCHORARRAY(D153) &gt;= _xlfn.QUARTILE.INC(_xlfn.ANCHORARRAY(D153),1) - 1.5*(_xlfn.QUARTILE.INC(_xlfn.ANCHORARRAY(D153),3) - _xlfn.QUARTILE.INC(_xlfn.ANCHORARRAY(D153),1))) * (_xlfn.ANCHORARRAY(D153) &lt;= _xlfn.QUARTILE.INC(_xlfn.ANCHORARRAY(D153),3) + 1.5*(_xlfn.QUARTILE.INC(_xlfn.ANCHORARRAY(D153),3) - _xlfn.QUARTILE.INC(_xlfn.ANCHORARRAY(D153),1)))))</f>
        <v>#DIV/0!</v>
      </c>
      <c r="D183" s="47" t="e" cm="1">
        <f t="array" aca="1" ref="D183" ca="1">(1-_xlfn.ANCHORARRAY($D$10))*C183</f>
        <v>#DIV/0!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</row>
    <row r="184" spans="1:18" s="42" customFormat="1" outlineLevel="1" x14ac:dyDescent="0.25">
      <c r="A184" s="40"/>
      <c r="B184" s="41"/>
      <c r="C184" s="40" t="str">
        <f>$C$43</f>
        <v>EBIAT/NOPAT</v>
      </c>
      <c r="D184" s="42" cm="1">
        <f t="array" aca="1" ref="D184" ca="1">IFERROR(_xlfn.ANCHORARRAY(D168)+_xlfn.ANCHORARRAY(D181),1)</f>
        <v>2</v>
      </c>
    </row>
    <row r="185" spans="1:18" s="45" customFormat="1" outlineLevel="1" x14ac:dyDescent="0.25">
      <c r="A185" s="43"/>
      <c r="B185" s="41"/>
      <c r="C185" s="44" t="str">
        <f>"% of Revenue"</f>
        <v>% of Revenue</v>
      </c>
      <c r="D185" s="45" t="str" cm="1">
        <f t="array" aca="1" ref="D185" ca="1">IFERROR(D184:OFFSET(D184,0,$F$6-$D$9)/D$165:OFFSET(D$165,0,$F$6-$D$9),"NA ")</f>
        <v xml:space="preserve">NA </v>
      </c>
    </row>
    <row r="186" spans="1:18" s="51" customFormat="1" outlineLevel="1" x14ac:dyDescent="0.25">
      <c r="A186" s="50"/>
      <c r="B186" s="41"/>
      <c r="C186" s="50"/>
    </row>
    <row r="187" spans="1:18" s="42" customFormat="1" outlineLevel="1" x14ac:dyDescent="0.25">
      <c r="A187" s="40"/>
      <c r="B187" s="41"/>
      <c r="C187" s="40" t="str">
        <f>$C$46</f>
        <v>Unlevered Free Cash Flow</v>
      </c>
      <c r="D187" s="42" cm="1">
        <f t="array" aca="1" ref="D187" ca="1">IFERROR(_xlfn.ANCHORARRAY(D184)+_xlfn.ANCHORARRAY(D177)+_xlfn.ANCHORARRAY(D174)+_xlfn.ANCHORARRAY(D171),1)</f>
        <v>5</v>
      </c>
    </row>
    <row r="188" spans="1:18" s="45" customFormat="1" outlineLevel="1" x14ac:dyDescent="0.25">
      <c r="A188" s="43"/>
      <c r="B188" s="41"/>
      <c r="C188" s="44" t="str">
        <f>"% of Revenue"</f>
        <v>% of Revenue</v>
      </c>
      <c r="D188" s="45" t="str" cm="1">
        <f t="array" aca="1" ref="D188" ca="1">IFERROR(D187:OFFSET(D187,0,$F$6-$D$9)/D$165:OFFSET(D$165,0,$F$6-$D$9),"NA ")</f>
        <v xml:space="preserve">NA </v>
      </c>
    </row>
    <row r="189" spans="1:18" s="1" customFormat="1" outlineLevel="1" x14ac:dyDescent="0.25">
      <c r="A189" s="40"/>
      <c r="B189" s="41"/>
    </row>
    <row r="190" spans="1:18" s="1" customFormat="1" outlineLevel="1" x14ac:dyDescent="0.25">
      <c r="A190" s="40"/>
      <c r="B190" s="41"/>
      <c r="C190" s="2" t="str">
        <f>"Conservative Case"</f>
        <v>Conservative Case</v>
      </c>
    </row>
    <row r="191" spans="1:18" s="7" customFormat="1" outlineLevel="1" x14ac:dyDescent="0.25">
      <c r="A191" s="70" t="str">
        <f>""</f>
        <v/>
      </c>
      <c r="B191" s="71"/>
      <c r="D191" s="7" cm="1">
        <f t="array" aca="1" ref="D191" ca="1">IFERROR(IF($D$9:OFFSET($D$9,0,$F$6-$D$9)&lt;$D$6,TEXT($D$9:OFFSET($D$9,0,$F$6-$D$9),"0A"),TEXT($D$9:OFFSET($D$9,0,$F$6-$D$9),"0")&amp;"E"),1)</f>
        <v>1</v>
      </c>
    </row>
    <row r="192" spans="1:18" s="8" customFormat="1" outlineLevel="1" x14ac:dyDescent="0.25">
      <c r="A192" s="62"/>
      <c r="B192" s="66"/>
      <c r="C192" s="3" t="str">
        <f>"Fiscal Year"</f>
        <v>Fiscal Year</v>
      </c>
      <c r="D192" s="8" cm="1">
        <f t="array" aca="1" ref="D192" ca="1">IFERROR(DATE($D$9:OFFSET($D$9,0,$F$6-$D$9),_xlfn.XLOOKUP(_xlfn.TEXTAFTER(_xlfn.TEXTBEFORE($C$5,"-"),": "),$G$4:$R$4,_xlfn.ANCHORARRAY($G$3)),$G$6),1)</f>
        <v>1</v>
      </c>
    </row>
    <row r="193" spans="1:5" s="1" customFormat="1" outlineLevel="1" x14ac:dyDescent="0.25">
      <c r="A193" s="40"/>
      <c r="B193" s="41"/>
    </row>
    <row r="194" spans="1:5" s="6" customFormat="1" outlineLevel="1" x14ac:dyDescent="0.25">
      <c r="A194" s="40"/>
      <c r="B194" s="41"/>
      <c r="C194" s="1" t="str">
        <f>$C$15</f>
        <v>Revenue</v>
      </c>
      <c r="D194" s="6" t="str">
        <f ca="1">D136</f>
        <v>NA</v>
      </c>
      <c r="E194" s="82" cm="1">
        <f t="array" aca="1" ref="E194" ca="1">IFERROR(_xlfn.LET(
  _xlpm.base, D194,
  _xlpm.growths,_xlfn.ANCHORARRAY( E195),
  _xlpm.result, _xlfn.SCAN(_xlpm.base, _xlpm.growths, _xlfn.LAMBDA(_xlpm.a,_xlpm.b, _xlpm.a * (1 + _xlpm.b))),
  _xlpm.result
),1)</f>
        <v>1</v>
      </c>
    </row>
    <row r="195" spans="1:5" s="12" customFormat="1" outlineLevel="1" x14ac:dyDescent="0.25">
      <c r="A195" s="43"/>
      <c r="B195" s="41"/>
      <c r="C195" s="9" t="str">
        <f>$C$16</f>
        <v>% growth</v>
      </c>
      <c r="D195" s="20"/>
      <c r="E195" s="12" cm="1">
        <f t="array" aca="1" ref="E195" ca="1">IFERROR(_xlfn.ANCHORARRAY(E137)+E196:OFFSET(E196,,F6-C6-1),1)</f>
        <v>1</v>
      </c>
    </row>
    <row r="196" spans="1:5" s="20" customFormat="1" outlineLevel="1" x14ac:dyDescent="0.25">
      <c r="A196" s="49"/>
      <c r="B196" s="49"/>
      <c r="C196" s="14"/>
      <c r="D196" s="20" t="e" cm="1">
        <f t="array" aca="1" ref="D196" ca="1">-_xlfn.ANCHORARRAY(D167)</f>
        <v>#DIV/0!</v>
      </c>
    </row>
    <row r="197" spans="1:5" s="6" customFormat="1" outlineLevel="1" x14ac:dyDescent="0.25">
      <c r="A197" s="40"/>
      <c r="B197" s="41"/>
      <c r="C197" s="1" t="str">
        <f>$C$21</f>
        <v>EBIT</v>
      </c>
      <c r="D197" s="6" cm="1">
        <f t="array" aca="1" ref="D197" ca="1">IFERROR(_xlfn.ANCHORARRAY(D198)*D$194:OFFSET(D$194,0,$F$6-$D$9),1)</f>
        <v>1</v>
      </c>
    </row>
    <row r="198" spans="1:5" s="12" customFormat="1" outlineLevel="1" x14ac:dyDescent="0.25">
      <c r="A198" s="43"/>
      <c r="B198" s="41"/>
      <c r="C198" s="9" t="str">
        <f>$C$22</f>
        <v>% of Revenue</v>
      </c>
      <c r="D198" s="12" cm="1">
        <f t="array" aca="1" ref="D198" ca="1">IFERROR(_xlfn.ANCHORARRAY(D140)+_xlfn.ANCHORARRAY(D199),1)</f>
        <v>1</v>
      </c>
    </row>
    <row r="199" spans="1:5" s="20" customFormat="1" outlineLevel="1" x14ac:dyDescent="0.25">
      <c r="A199" s="49"/>
      <c r="B199" s="49"/>
      <c r="C199" s="14"/>
      <c r="D199" s="20" t="e" cm="1">
        <f t="array" aca="1" ref="D199" ca="1">-_xlfn.ANCHORARRAY(D170)</f>
        <v>#DIV/0!</v>
      </c>
    </row>
    <row r="200" spans="1:5" s="6" customFormat="1" outlineLevel="1" x14ac:dyDescent="0.25">
      <c r="A200" s="40"/>
      <c r="B200" s="41"/>
      <c r="C200" s="1" t="str">
        <f>$C$24</f>
        <v>Depreciation &amp; Amortization</v>
      </c>
      <c r="D200" s="6" cm="1">
        <f t="array" aca="1" ref="D200" ca="1">IFERROR(_xlfn.ANCHORARRAY(D201)*D$194:OFFSET(D$194,0,$F$6-$D$9),1)</f>
        <v>1</v>
      </c>
    </row>
    <row r="201" spans="1:5" s="12" customFormat="1" outlineLevel="1" x14ac:dyDescent="0.25">
      <c r="A201" s="43"/>
      <c r="B201" s="41"/>
      <c r="C201" s="9" t="str">
        <f>$C$25</f>
        <v>% of Revenue</v>
      </c>
      <c r="D201" s="12" cm="1">
        <f t="array" aca="1" ref="D201" ca="1">IFERROR(_xlfn.ANCHORARRAY(D143)+_xlfn.ANCHORARRAY(D202),1)</f>
        <v>1</v>
      </c>
    </row>
    <row r="202" spans="1:5" s="20" customFormat="1" outlineLevel="1" x14ac:dyDescent="0.25">
      <c r="A202" s="49"/>
      <c r="B202" s="49"/>
      <c r="C202" s="14"/>
      <c r="D202" s="20" t="e" cm="1">
        <f t="array" aca="1" ref="D202" ca="1">-_xlfn.ANCHORARRAY(D173)</f>
        <v>#DIV/0!</v>
      </c>
    </row>
    <row r="203" spans="1:5" s="6" customFormat="1" outlineLevel="1" x14ac:dyDescent="0.25">
      <c r="A203" s="40"/>
      <c r="B203" s="41"/>
      <c r="C203" s="1" t="str">
        <f>$C$27</f>
        <v>Capital Expenditures</v>
      </c>
      <c r="D203" s="6" cm="1">
        <f t="array" aca="1" ref="D203" ca="1">IFERROR(-_xlfn.ANCHORARRAY(D204)*D$194:OFFSET(D$194,0,$F$6-$D$9),1)</f>
        <v>1</v>
      </c>
    </row>
    <row r="204" spans="1:5" s="12" customFormat="1" outlineLevel="1" x14ac:dyDescent="0.25">
      <c r="A204" s="43"/>
      <c r="B204" s="41"/>
      <c r="C204" s="9" t="str">
        <f>$C$28</f>
        <v>% of Revenue</v>
      </c>
      <c r="D204" s="12" cm="1">
        <f t="array" aca="1" ref="D204" ca="1">IFERROR(_xlfn.ANCHORARRAY(D146)-_xlfn.ANCHORARRAY(D205),1)</f>
        <v>1</v>
      </c>
    </row>
    <row r="205" spans="1:5" s="20" customFormat="1" outlineLevel="1" x14ac:dyDescent="0.25">
      <c r="A205" s="49"/>
      <c r="B205" s="49"/>
      <c r="C205" s="14"/>
      <c r="D205" s="20" t="e" cm="1">
        <f t="array" aca="1" ref="D205" ca="1">-_xlfn.ANCHORARRAY(D176)</f>
        <v>#DIV/0!</v>
      </c>
    </row>
    <row r="206" spans="1:5" s="6" customFormat="1" outlineLevel="1" x14ac:dyDescent="0.25">
      <c r="A206" s="40"/>
      <c r="B206" s="41"/>
      <c r="C206" s="1" t="str">
        <f>$C$36</f>
        <v>Change in Working Capital &amp; Other Non-Cash Expenses</v>
      </c>
      <c r="D206" s="6" cm="1">
        <f t="array" aca="1" ref="D206" ca="1">IFERROR(_xlfn.ANCHORARRAY(D207)*D$194:OFFSET(D$194,0,$F$6-$D$9),1)</f>
        <v>1</v>
      </c>
    </row>
    <row r="207" spans="1:5" s="12" customFormat="1" outlineLevel="1" x14ac:dyDescent="0.25">
      <c r="A207" s="43"/>
      <c r="B207" s="41"/>
      <c r="C207" s="9" t="str">
        <f>$C$37</f>
        <v>% of Revenue</v>
      </c>
      <c r="D207" s="12" cm="1">
        <f t="array" aca="1" ref="D207" ca="1">IFERROR(_xlfn.ANCHORARRAY(D149)+_xlfn.ANCHORARRAY(D209),1)</f>
        <v>1</v>
      </c>
    </row>
    <row r="208" spans="1:5" s="12" customFormat="1" outlineLevel="1" x14ac:dyDescent="0.25">
      <c r="A208" s="43"/>
      <c r="B208" s="49"/>
      <c r="C208" s="9" t="str">
        <f>$C$38</f>
        <v>% of Change in Revenue</v>
      </c>
      <c r="E208" s="12" t="str" cm="1">
        <f t="array" aca="1" ref="E208" ca="1">IFERROR(E206:OFFSET(E206,,$F$6-$D$9-1)/($E$194:OFFSET($E$194,,$F$6-$D$9-1)-$D$194:OFFSET($D$194,,$F$6-$D$9-1)),"NA ")</f>
        <v xml:space="preserve">NA </v>
      </c>
    </row>
    <row r="209" spans="1:4" s="20" customFormat="1" outlineLevel="1" x14ac:dyDescent="0.25">
      <c r="A209" s="49"/>
      <c r="B209" s="49"/>
      <c r="C209" s="14"/>
      <c r="D209" s="20" t="e" cm="1">
        <f t="array" aca="1" ref="D209" ca="1">-_xlfn.ANCHORARRAY(D180)</f>
        <v>#DIV/0!</v>
      </c>
    </row>
    <row r="210" spans="1:4" s="6" customFormat="1" outlineLevel="1" x14ac:dyDescent="0.25">
      <c r="A210" s="40"/>
      <c r="B210" s="41"/>
      <c r="C210" s="1" t="str">
        <f>$C$40</f>
        <v>Normalized Taxes</v>
      </c>
      <c r="D210" s="6" cm="1">
        <f t="array" aca="1" ref="D210" ca="1">IFERROR(-_xlfn.ANCHORARRAY(D211)*D$197:OFFSET(D$197,0,$F$6-$D$9),1)</f>
        <v>1</v>
      </c>
    </row>
    <row r="211" spans="1:4" s="12" customFormat="1" outlineLevel="1" x14ac:dyDescent="0.25">
      <c r="A211" s="43"/>
      <c r="B211" s="49"/>
      <c r="C211" s="9" t="str">
        <f>$C$41</f>
        <v>Effective Tax Rate (%)</v>
      </c>
      <c r="D211" s="12" cm="1">
        <f t="array" aca="1" ref="D211" ca="1">IFERROR(-_xlfn.ANCHORARRAY(D212)+_xlfn.ANCHORARRAY(D153),1)</f>
        <v>1</v>
      </c>
    </row>
    <row r="212" spans="1:4" s="20" customFormat="1" outlineLevel="1" x14ac:dyDescent="0.25">
      <c r="A212" s="49"/>
      <c r="B212" s="49"/>
      <c r="C212" s="14"/>
      <c r="D212" s="20" t="e" cm="1">
        <f t="array" aca="1" ref="D212" ca="1">-_xlfn.ANCHORARRAY(D183)</f>
        <v>#DIV/0!</v>
      </c>
    </row>
    <row r="213" spans="1:4" s="6" customFormat="1" outlineLevel="1" x14ac:dyDescent="0.25">
      <c r="A213" s="40"/>
      <c r="B213" s="41"/>
      <c r="C213" s="1" t="str">
        <f>$C$43</f>
        <v>EBIAT/NOPAT</v>
      </c>
      <c r="D213" s="6" cm="1">
        <f t="array" aca="1" ref="D213" ca="1">IFERROR(_xlfn.ANCHORARRAY(D197)+_xlfn.ANCHORARRAY(D210),1)</f>
        <v>2</v>
      </c>
    </row>
    <row r="214" spans="1:4" s="12" customFormat="1" outlineLevel="1" x14ac:dyDescent="0.25">
      <c r="A214" s="43"/>
      <c r="B214" s="41"/>
      <c r="C214" s="9" t="str">
        <f>"% of Revenue"</f>
        <v>% of Revenue</v>
      </c>
      <c r="D214" s="12" t="str" cm="1">
        <f t="array" aca="1" ref="D214" ca="1">IFERROR(D213:OFFSET(D213,0,$F$6-$D$9)/D$165:OFFSET(D$165,0,$F$6-$D$9),"NA ")</f>
        <v xml:space="preserve">NA </v>
      </c>
    </row>
    <row r="215" spans="1:4" s="12" customFormat="1" outlineLevel="1" x14ac:dyDescent="0.25">
      <c r="A215" s="43"/>
      <c r="B215" s="49"/>
      <c r="C215" s="5"/>
    </row>
    <row r="216" spans="1:4" s="6" customFormat="1" outlineLevel="1" x14ac:dyDescent="0.25">
      <c r="A216" s="40"/>
      <c r="B216" s="41"/>
      <c r="C216" s="1" t="str">
        <f>$C$46</f>
        <v>Unlevered Free Cash Flow</v>
      </c>
      <c r="D216" s="6" cm="1">
        <f t="array" aca="1" ref="D216" ca="1">IFERROR(_xlfn.ANCHORARRAY(D213)+_xlfn.ANCHORARRAY(D206)+_xlfn.ANCHORARRAY(D203)+_xlfn.ANCHORARRAY(D200),1)</f>
        <v>5</v>
      </c>
    </row>
    <row r="217" spans="1:4" s="12" customFormat="1" outlineLevel="1" x14ac:dyDescent="0.25">
      <c r="A217" s="43"/>
      <c r="B217" s="41"/>
      <c r="C217" s="9" t="str">
        <f>"% of Revenue"</f>
        <v>% of Revenue</v>
      </c>
      <c r="D217" s="12" t="str" cm="1">
        <f t="array" aca="1" ref="D217" ca="1">IFERROR(D216:OFFSET(D216,0,$F$6-$D$9)/D$165:OFFSET(D$165,0,$F$6-$D$9),"NA ")</f>
        <v xml:space="preserve">NA </v>
      </c>
    </row>
    <row r="218" spans="1:4" s="1" customFormat="1" outlineLevel="1" x14ac:dyDescent="0.25">
      <c r="A218" s="40"/>
      <c r="B218" s="41"/>
    </row>
    <row r="219" spans="1:4" s="1" customFormat="1" x14ac:dyDescent="0.25">
      <c r="A219" s="40"/>
      <c r="B219" s="41"/>
      <c r="C219" s="2" t="str">
        <f>"Present Value of Free Cash Flow Calculations"</f>
        <v>Present Value of Free Cash Flow Calculations</v>
      </c>
    </row>
    <row r="220" spans="1:4" s="10" customFormat="1" x14ac:dyDescent="0.25">
      <c r="A220" s="68" t="str">
        <f>""</f>
        <v/>
      </c>
      <c r="B220" s="69"/>
      <c r="D220" s="10" cm="1">
        <f t="array" aca="1" ref="D220" ca="1">IFERROR(IF($D$9:OFFSET($D$9,0,$F$6-$D$9)&lt;$D$6,TEXT($D$9:OFFSET($D$9,0,$F$6-$D$9),"0A"),TEXT($D$9:OFFSET($D$9,0,$F$6-$D$9),"0")&amp;"E"),1)</f>
        <v>1</v>
      </c>
    </row>
    <row r="221" spans="1:4" s="8" customFormat="1" x14ac:dyDescent="0.25">
      <c r="A221" s="62"/>
      <c r="B221" s="66"/>
      <c r="C221" s="3" t="str">
        <f>"Fiscal Year"</f>
        <v>Fiscal Year</v>
      </c>
      <c r="D221" s="8" cm="1">
        <f t="array" aca="1" ref="D221" ca="1">IFERROR(DATE($D$9:OFFSET($D$9,0,$F$6-$D$9),_xlfn.XLOOKUP(_xlfn.TEXTAFTER(_xlfn.TEXTBEFORE($C$5,"-"),": "),$G$4:$R$4,_xlfn.ANCHORARRAY($G$3)),$G$6),1)</f>
        <v>1</v>
      </c>
    </row>
    <row r="222" spans="1:4" s="8" customFormat="1" x14ac:dyDescent="0.25">
      <c r="A222" s="62"/>
      <c r="B222" s="66"/>
      <c r="C222" s="3" t="str">
        <f>"Date of Free Cash Flow"</f>
        <v>Date of Free Cash Flow</v>
      </c>
      <c r="D222" s="85" t="str" cm="1">
        <f t="array" aca="1" ref="D222" ca="1">IFERROR(_xlfn.LET(_xlpm.x,_xlfn.LET(
  _xlpm.dates,_xlfn.ANCHORARRAY( D221),
  _xlpm.cutoff, D7,
  _xlpm.priorDate, OFFSET(_xlpm.dates, , -1),
  _xlpm.shortForward, _xlfn.MAP(_xlpm.dates, _xlfn.LAMBDA(_xlpm.x, --(AND(YEARFRAC(_xlpm.x, _xlpm.cutoff) &lt; 1, _xlpm.x &gt; _xlpm.cutoff)))),
  _xlpm.shortBackward, _xlfn.MAP(_xlpm.dates, _xlfn.LAMBDA(_xlpm.x, --(AND(YEARFRAC(_xlpm.x, _xlpm.cutoff) &lt; 1, _xlpm.x &lt; _xlpm.cutoff)))),
  _xlpm.longForward, --(_xlpm.dates &gt; EOMONTH(_xlpm.cutoff, 12)),
  _xlpm.midpoint1, AVERAGE(_xlpm.cutoff, DATE(D6, MONTH(D12), DAY(D12))),
  _xlpm.midpoint2, (_xlpm.dates + _xlpm.priorDate) / 2,
  _xlpm.result,
    _xlpm.shortForward * _xlpm.midpoint1 +
    _xlpm.shortBackward * _xlpm.cutoff +
    IFERROR(_xlpm.longForward * _xlpm.midpoint2, 0),
  _xlpm.result
),IF(_xlpm.x=0,"",_xlpm.x)),1)</f>
        <v/>
      </c>
    </row>
    <row r="223" spans="1:4" s="1" customFormat="1" x14ac:dyDescent="0.25">
      <c r="A223" s="40"/>
      <c r="B223" s="41"/>
    </row>
    <row r="224" spans="1:4" s="1" customFormat="1" x14ac:dyDescent="0.25">
      <c r="A224" s="40"/>
      <c r="B224" s="41"/>
      <c r="C224" s="1" t="str">
        <f>C100</f>
        <v>Unlevered Free Cash Flow</v>
      </c>
      <c r="D224" s="1" t="str" cm="1">
        <f t="array" aca="1" ref="D224" ca="1">IFERROR(_xlfn.LET(_xlpm.x,_xlfn.ANCHORARRAY(D100)*(1-_xlfn.ANCHORARRAY(D10)),IF(_xlfn.ANCHORARRAY(D222)="","",_xlpm.x)),1)</f>
        <v/>
      </c>
    </row>
    <row r="225" spans="1:19" s="26" customFormat="1" x14ac:dyDescent="0.25">
      <c r="A225" s="64"/>
      <c r="B225" s="67"/>
      <c r="C225" s="27" t="str">
        <f>"Stub-Adjustment"</f>
        <v>Stub-Adjustment</v>
      </c>
      <c r="D225" s="86" t="str" cm="1">
        <f t="array" aca="1" ref="D225" ca="1">IFERROR(_xlfn.LET(_xlpm.x,_xlfn.LET(
  _xlpm.arr, 1-_xlfn.ANCHORARRAY(D10),
  _xlpm.firstOnePos, _xlfn.XMATCH(1, _xlpm.arr),
  IF(_xlfn.SEQUENCE(1, COLUMNS(_xlpm.arr)) = _xlpm.firstOnePos,F4, _xlpm.arr)
),IF(_xlfn.ANCHORARRAY(D222)="","",_xlpm.x)),1)</f>
        <v/>
      </c>
    </row>
    <row r="226" spans="1:19" s="1" customFormat="1" x14ac:dyDescent="0.25">
      <c r="A226" s="40"/>
      <c r="B226" s="41"/>
    </row>
    <row r="227" spans="1:19" s="1" customFormat="1" x14ac:dyDescent="0.25">
      <c r="A227" s="40"/>
      <c r="B227" s="41"/>
      <c r="C227" s="1" t="str">
        <f>"Stub-Adjusted Free Cash Flow"</f>
        <v>Stub-Adjusted Free Cash Flow</v>
      </c>
      <c r="D227" s="1" t="str" cm="1">
        <f t="array" aca="1" ref="D227" ca="1">IFERROR(_xlfn.ANCHORARRAY(D224)*_xlfn.ANCHORARRAY(D225),"")</f>
        <v/>
      </c>
    </row>
    <row r="228" spans="1:19" s="1" customFormat="1" x14ac:dyDescent="0.25">
      <c r="A228" s="40"/>
      <c r="B228" s="41"/>
    </row>
    <row r="229" spans="1:19" s="1" customFormat="1" collapsed="1" x14ac:dyDescent="0.25">
      <c r="A229" s="40"/>
      <c r="B229" s="41"/>
      <c r="C229" s="2" t="str">
        <f>"Terminal Value (Exit Multiple)"</f>
        <v>Terminal Value (Exit Multiple)</v>
      </c>
      <c r="F229" s="2" t="str">
        <f>"Sensitivity Analysis (Exit Multiple)"</f>
        <v>Sensitivity Analysis (Exit Multiple)</v>
      </c>
    </row>
    <row r="230" spans="1:19" s="13" customFormat="1" x14ac:dyDescent="0.25">
      <c r="A230" s="61" t="str">
        <f>""</f>
        <v/>
      </c>
      <c r="B230" s="65"/>
      <c r="C230" s="10"/>
      <c r="D230" s="10"/>
      <c r="F230" s="10"/>
      <c r="G230" s="10"/>
      <c r="H230" s="10"/>
      <c r="I230" s="10"/>
      <c r="J230" s="10"/>
      <c r="K230" s="10"/>
      <c r="L230" s="10"/>
      <c r="M230" s="10"/>
      <c r="N230" s="1"/>
      <c r="O230" s="1"/>
      <c r="P230" s="1"/>
      <c r="Q230" s="1"/>
      <c r="R230" s="1"/>
      <c r="S230" s="1"/>
    </row>
    <row r="231" spans="1:19" s="8" customFormat="1" x14ac:dyDescent="0.25">
      <c r="A231" s="62"/>
      <c r="B231" s="66"/>
      <c r="C231" s="3"/>
      <c r="N231" s="1"/>
      <c r="O231" s="1"/>
      <c r="P231" s="1"/>
      <c r="Q231" s="1"/>
      <c r="R231" s="1"/>
      <c r="S231" s="1"/>
    </row>
    <row r="232" spans="1:19" s="1" customFormat="1" x14ac:dyDescent="0.25">
      <c r="A232" s="40"/>
      <c r="B232" s="41"/>
      <c r="C232" s="1" t="str">
        <f>P5</f>
        <v>Exit Multiple (EBITDA)</v>
      </c>
      <c r="D232" s="28">
        <f ca="1">R5</f>
        <v>8</v>
      </c>
      <c r="K232" s="2" t="str">
        <f>C232</f>
        <v>Exit Multiple (EBITDA)</v>
      </c>
    </row>
    <row r="233" spans="1:19" x14ac:dyDescent="0.25">
      <c r="C233" s="1" t="str">
        <f>"FY"&amp;F6&amp;" EBITDA"</f>
        <v>FY2031 EBITDA</v>
      </c>
      <c r="D233" s="1" cm="1">
        <f t="array" aca="1" ref="D233" ca="1">IFERROR(INDEX(_xlfn.ANCHORARRAY(D81),,COUNTA(_xlfn.ANCHORARRAY(D81)))+INDEX(_xlfn.ANCHORARRAY(D84),,COUNTA(_xlfn.ANCHORARRAY(D84))),1)</f>
        <v>2</v>
      </c>
      <c r="H233" s="81">
        <f ca="1">D243</f>
        <v>1</v>
      </c>
      <c r="I233" s="74">
        <f>J233-2</f>
        <v>6</v>
      </c>
      <c r="J233" s="74">
        <f>K233-2</f>
        <v>8</v>
      </c>
      <c r="K233" s="74">
        <f>10</f>
        <v>10</v>
      </c>
      <c r="L233" s="74">
        <f>K233+2</f>
        <v>12</v>
      </c>
      <c r="M233" s="74">
        <f>L233+2</f>
        <v>14</v>
      </c>
    </row>
    <row r="234" spans="1:19" x14ac:dyDescent="0.25">
      <c r="C234" s="1" t="str">
        <f>"Terminal Value"</f>
        <v>Terminal Value</v>
      </c>
      <c r="D234" s="1">
        <f ca="1">IFERROR(D232*D233,1)</f>
        <v>16</v>
      </c>
      <c r="H234" s="75">
        <f>H235+0.25%</f>
        <v>0.11250000000000002</v>
      </c>
      <c r="I234" s="76">
        <f t="dataTable" ref="I234:M245" dt2D="1" dtr="1" r1="D232" r2="D8" ca="1"/>
        <v>1</v>
      </c>
      <c r="J234" s="77">
        <v>1</v>
      </c>
      <c r="K234" s="77">
        <v>1</v>
      </c>
      <c r="L234" s="77">
        <v>1</v>
      </c>
      <c r="M234" s="77">
        <v>1</v>
      </c>
    </row>
    <row r="235" spans="1:19" x14ac:dyDescent="0.25">
      <c r="C235" s="1" t="str">
        <f>"Present Value of Terminal Value"</f>
        <v>Present Value of Terminal Value</v>
      </c>
      <c r="D235" s="1">
        <f ca="1">IFERROR(D234/((1+$D$8)^YEARFRAC($D$7,INDEX(_xlfn.ANCHORARRAY($D$222),,COUNTA(_xlfn.ANCHORARRAY($D$222))),3)),1)</f>
        <v>1</v>
      </c>
      <c r="H235" s="75">
        <f>H236+0.25%</f>
        <v>0.11000000000000001</v>
      </c>
      <c r="I235" s="78">
        <v>1</v>
      </c>
      <c r="J235" s="79">
        <v>1</v>
      </c>
      <c r="K235" s="79">
        <v>1</v>
      </c>
      <c r="L235" s="79">
        <v>1</v>
      </c>
      <c r="M235" s="79">
        <v>1</v>
      </c>
    </row>
    <row r="236" spans="1:19" x14ac:dyDescent="0.25">
      <c r="C236" s="1" t="str">
        <f>"Sum of Present Value of Free Cash Flows"</f>
        <v>Sum of Present Value of Free Cash Flows</v>
      </c>
      <c r="D236" s="1" cm="1">
        <f t="array" aca="1" ref="D236" ca="1">IFERROR(XNPV($D$8, _xlfn._xlws.FILTER(_xlfn.ANCHORARRAY(D227), ISNUMBER(_xlfn.ANCHORARRAY(D227))), _xlfn._xlws.FILTER(_xlfn.ANCHORARRAY(D222), ISNUMBER(_xlfn.ANCHORARRAY(D227)))),1)</f>
        <v>1</v>
      </c>
      <c r="H236" s="75">
        <f>H237+0.25%</f>
        <v>0.10750000000000001</v>
      </c>
      <c r="I236" s="78">
        <v>1</v>
      </c>
      <c r="J236" s="79">
        <v>1</v>
      </c>
      <c r="K236" s="79">
        <v>1</v>
      </c>
      <c r="L236" s="79">
        <v>1</v>
      </c>
      <c r="M236" s="79">
        <v>1</v>
      </c>
    </row>
    <row r="237" spans="1:19" x14ac:dyDescent="0.25">
      <c r="G237" s="6"/>
      <c r="H237" s="75">
        <f>H238+0.25%</f>
        <v>0.10500000000000001</v>
      </c>
      <c r="I237" s="78">
        <v>1</v>
      </c>
      <c r="J237" s="79">
        <v>1</v>
      </c>
      <c r="K237" s="79">
        <v>1</v>
      </c>
      <c r="L237" s="79">
        <v>1</v>
      </c>
      <c r="M237" s="79">
        <v>1</v>
      </c>
    </row>
    <row r="238" spans="1:19" x14ac:dyDescent="0.25">
      <c r="C238" s="1" t="str">
        <f>"Enterprise Value"</f>
        <v>Enterprise Value</v>
      </c>
      <c r="D238" s="1">
        <f ca="1">IFERROR(SUM(D235:D236),1)</f>
        <v>2</v>
      </c>
      <c r="H238" s="75">
        <f>H239+0.25%</f>
        <v>0.10250000000000001</v>
      </c>
      <c r="I238" s="78">
        <v>1</v>
      </c>
      <c r="J238" s="79">
        <v>1</v>
      </c>
      <c r="K238" s="79">
        <v>1</v>
      </c>
      <c r="L238" s="79">
        <v>1</v>
      </c>
      <c r="M238" s="79">
        <v>1</v>
      </c>
    </row>
    <row r="239" spans="1:19" x14ac:dyDescent="0.25">
      <c r="C239" s="1" t="str">
        <f>$C$55</f>
        <v>Net Debt</v>
      </c>
      <c r="D239" s="1" cm="1">
        <f t="array" aca="1" ref="D239" ca="1">IFERROR(_xlfn.XLOOKUP(D7,_xlfn.ANCHORARRAY($D$13),_xlfn.ANCHORARRAY(D58)),1)</f>
        <v>1</v>
      </c>
      <c r="G239" s="13" t="str">
        <f>$C$8</f>
        <v>Weighted-Average Cost of Capital</v>
      </c>
      <c r="H239" s="75">
        <f>10%</f>
        <v>0.1</v>
      </c>
      <c r="I239" s="78">
        <v>1</v>
      </c>
      <c r="J239" s="79">
        <v>1</v>
      </c>
      <c r="K239" s="79">
        <v>1</v>
      </c>
      <c r="L239" s="79">
        <v>1</v>
      </c>
      <c r="M239" s="79">
        <v>1</v>
      </c>
    </row>
    <row r="240" spans="1:19" x14ac:dyDescent="0.25">
      <c r="C240" s="1" t="str">
        <f>"Equity Value"</f>
        <v>Equity Value</v>
      </c>
      <c r="D240" s="1">
        <f ca="1">IFERROR(D238-D239,1)</f>
        <v>1</v>
      </c>
      <c r="H240" s="75">
        <f>H239-0.25%</f>
        <v>9.7500000000000003E-2</v>
      </c>
      <c r="I240" s="78">
        <v>1</v>
      </c>
      <c r="J240" s="79">
        <v>1</v>
      </c>
      <c r="K240" s="79">
        <v>1</v>
      </c>
      <c r="L240" s="79">
        <v>1</v>
      </c>
      <c r="M240" s="79">
        <v>1</v>
      </c>
    </row>
    <row r="241" spans="1:19" x14ac:dyDescent="0.25">
      <c r="H241" s="75">
        <f>H240-0.25%</f>
        <v>9.5000000000000001E-2</v>
      </c>
      <c r="I241" s="78">
        <v>1</v>
      </c>
      <c r="J241" s="79">
        <v>1</v>
      </c>
      <c r="K241" s="79">
        <v>1</v>
      </c>
      <c r="L241" s="79">
        <v>1</v>
      </c>
      <c r="M241" s="79">
        <v>1</v>
      </c>
    </row>
    <row r="242" spans="1:19" x14ac:dyDescent="0.25">
      <c r="C242" s="1" t="str">
        <f>_xlfn.TEXTBEFORE($C$53," as")</f>
        <v>Diluted Shares Outstanding</v>
      </c>
      <c r="D242" s="1" cm="1">
        <f t="array" aca="1" ref="D242" ca="1">IFERROR(_xlfn.XLOOKUP(D7,_xlfn.ANCHORARRAY($D$13),_xlfn.ANCHORARRAY(D53)),1)</f>
        <v>1</v>
      </c>
      <c r="H242" s="75">
        <f>H241-0.25%</f>
        <v>9.2499999999999999E-2</v>
      </c>
      <c r="I242" s="78">
        <v>1</v>
      </c>
      <c r="J242" s="79">
        <v>1</v>
      </c>
      <c r="K242" s="79">
        <v>1</v>
      </c>
      <c r="L242" s="79">
        <v>1</v>
      </c>
      <c r="M242" s="79">
        <v>1</v>
      </c>
    </row>
    <row r="243" spans="1:19" x14ac:dyDescent="0.25">
      <c r="C243" s="1" t="str">
        <f>"Implied Share Price"</f>
        <v>Implied Share Price</v>
      </c>
      <c r="D243" s="29">
        <f ca="1">IFERROR(D240/D242,1)</f>
        <v>1</v>
      </c>
      <c r="H243" s="75">
        <f>H242-0.25%</f>
        <v>0.09</v>
      </c>
      <c r="I243" s="78">
        <v>1</v>
      </c>
      <c r="J243" s="79">
        <v>1</v>
      </c>
      <c r="K243" s="79">
        <v>1</v>
      </c>
      <c r="L243" s="79">
        <v>1</v>
      </c>
      <c r="M243" s="79">
        <v>1</v>
      </c>
    </row>
    <row r="244" spans="1:19" x14ac:dyDescent="0.25">
      <c r="C244" s="1" t="str">
        <f>"Current Share Price"</f>
        <v>Current Share Price</v>
      </c>
      <c r="D244" s="29" t="e">
        <f ca="1">$N$5</f>
        <v>#DIV/0!</v>
      </c>
      <c r="H244" s="75">
        <f>H243-0.25%</f>
        <v>8.7499999999999994E-2</v>
      </c>
      <c r="I244" s="78">
        <v>1</v>
      </c>
      <c r="J244" s="79">
        <v>1</v>
      </c>
      <c r="K244" s="79">
        <v>1</v>
      </c>
      <c r="L244" s="79">
        <v>1</v>
      </c>
      <c r="M244" s="79">
        <v>1</v>
      </c>
    </row>
    <row r="245" spans="1:19" x14ac:dyDescent="0.25">
      <c r="C245" s="25" t="str">
        <f>"Upside / Downside"</f>
        <v>Upside / Downside</v>
      </c>
      <c r="D245" s="5">
        <f ca="1">IFERROR(D243/D244-1,1)</f>
        <v>1</v>
      </c>
      <c r="H245" s="75">
        <f>H244-0.25%</f>
        <v>8.4999999999999992E-2</v>
      </c>
      <c r="I245" s="78">
        <v>1</v>
      </c>
      <c r="J245" s="79">
        <v>1</v>
      </c>
      <c r="K245" s="79">
        <v>1</v>
      </c>
      <c r="L245" s="79">
        <v>1</v>
      </c>
      <c r="M245" s="79">
        <v>1</v>
      </c>
    </row>
    <row r="246" spans="1:19" s="1" customFormat="1" x14ac:dyDescent="0.25">
      <c r="A246" s="40"/>
      <c r="B246" s="41"/>
    </row>
    <row r="247" spans="1:19" s="1" customFormat="1" collapsed="1" x14ac:dyDescent="0.25">
      <c r="A247" s="40"/>
      <c r="B247" s="41"/>
      <c r="C247" s="2" t="str">
        <f>"Terminal Value (Perpetuity)"</f>
        <v>Terminal Value (Perpetuity)</v>
      </c>
      <c r="F247" s="2" t="str">
        <f>"Sensitivity Analysis (Perpetuity)"</f>
        <v>Sensitivity Analysis (Perpetuity)</v>
      </c>
    </row>
    <row r="248" spans="1:19" s="13" customFormat="1" x14ac:dyDescent="0.25">
      <c r="A248" s="61" t="str">
        <f>""</f>
        <v/>
      </c>
      <c r="B248" s="65"/>
      <c r="C248" s="10"/>
      <c r="D248" s="10"/>
      <c r="F248" s="10"/>
      <c r="G248" s="10"/>
      <c r="H248" s="10"/>
      <c r="I248" s="10"/>
      <c r="J248" s="10"/>
      <c r="K248" s="10"/>
      <c r="L248" s="10"/>
      <c r="M248" s="10"/>
      <c r="N248" s="1"/>
      <c r="O248" s="1"/>
      <c r="P248" s="1"/>
      <c r="Q248" s="1"/>
      <c r="R248" s="1"/>
      <c r="S248" s="1"/>
    </row>
    <row r="249" spans="1:19" s="8" customFormat="1" x14ac:dyDescent="0.25">
      <c r="A249" s="62"/>
      <c r="B249" s="66"/>
      <c r="C249" s="3"/>
    </row>
    <row r="250" spans="1:19" s="1" customFormat="1" x14ac:dyDescent="0.25">
      <c r="A250" s="40"/>
      <c r="B250" s="41"/>
      <c r="C250" s="1" t="str">
        <f>P6</f>
        <v>Terminal Growth Rate</v>
      </c>
      <c r="D250" s="21">
        <f>R6</f>
        <v>2.5000000000000001E-2</v>
      </c>
      <c r="K250" s="2" t="str">
        <f>C250</f>
        <v>Terminal Growth Rate</v>
      </c>
    </row>
    <row r="251" spans="1:19" x14ac:dyDescent="0.25">
      <c r="C251" s="1" t="str">
        <f>"FY"&amp;F6+1&amp;" "&amp;C224</f>
        <v>FY2032 Unlevered Free Cash Flow</v>
      </c>
      <c r="D251" s="1" cm="1">
        <f t="array" aca="1" ref="D251" ca="1">IFERROR(INDEX(_xlfn.ANCHORARRAY(D224),,COUNTA(_xlfn.ANCHORARRAY(D224)))*(1+D250),1)</f>
        <v>1</v>
      </c>
      <c r="H251" s="81">
        <f ca="1">D261</f>
        <v>1</v>
      </c>
      <c r="I251" s="80">
        <f>J251-0.5%</f>
        <v>1.4999999999999999E-2</v>
      </c>
      <c r="J251" s="80">
        <f>K251-0.5%</f>
        <v>0.02</v>
      </c>
      <c r="K251" s="80">
        <f>2.5%</f>
        <v>2.5000000000000001E-2</v>
      </c>
      <c r="L251" s="80">
        <f>K251+0.5%</f>
        <v>3.0000000000000002E-2</v>
      </c>
      <c r="M251" s="80">
        <f>L251+0.5%</f>
        <v>3.5000000000000003E-2</v>
      </c>
    </row>
    <row r="252" spans="1:19" x14ac:dyDescent="0.25">
      <c r="C252" s="1" t="str">
        <f>"Terminal Value"</f>
        <v>Terminal Value</v>
      </c>
      <c r="D252" s="1">
        <f ca="1">IFERROR(D251/(D8-D250),1)</f>
        <v>56.753688989784344</v>
      </c>
      <c r="H252" s="75">
        <f>H253+0.25%</f>
        <v>0.11250000000000002</v>
      </c>
      <c r="I252" s="76">
        <f t="dataTable" ref="I252:M263" dt2D="1" dtr="1" r1="D250" r2="D8" ca="1"/>
        <v>1</v>
      </c>
      <c r="J252" s="77">
        <v>1</v>
      </c>
      <c r="K252" s="77">
        <v>1</v>
      </c>
      <c r="L252" s="77">
        <v>1</v>
      </c>
      <c r="M252" s="77">
        <v>1</v>
      </c>
    </row>
    <row r="253" spans="1:19" x14ac:dyDescent="0.25">
      <c r="C253" s="1" t="str">
        <f>"Present Value of Terminal Value"</f>
        <v>Present Value of Terminal Value</v>
      </c>
      <c r="D253" s="1">
        <f ca="1">IFERROR(D252/((1+$D$8)^YEARFRAC($D$7,INDEX(_xlfn.ANCHORARRAY($D$222),,COUNTA(_xlfn.ANCHORARRAY($D$222))),3)),1)</f>
        <v>1</v>
      </c>
      <c r="H253" s="75">
        <f>H254+0.25%</f>
        <v>0.11000000000000001</v>
      </c>
      <c r="I253" s="78">
        <v>1</v>
      </c>
      <c r="J253" s="79">
        <v>1</v>
      </c>
      <c r="K253" s="79">
        <v>1</v>
      </c>
      <c r="L253" s="79">
        <v>1</v>
      </c>
      <c r="M253" s="79">
        <v>1</v>
      </c>
    </row>
    <row r="254" spans="1:19" x14ac:dyDescent="0.25">
      <c r="C254" s="1" t="str">
        <f>"Sum of Present Value of Free Cash Flows"</f>
        <v>Sum of Present Value of Free Cash Flows</v>
      </c>
      <c r="D254" s="1" cm="1">
        <f t="array" aca="1" ref="D254" ca="1">IFERROR(XNPV($D$8, _xlfn._xlws.FILTER(_xlfn.ANCHORARRAY(D227), ISNUMBER(_xlfn.ANCHORARRAY(D227))), _xlfn._xlws.FILTER(_xlfn.ANCHORARRAY(D222), ISNUMBER(_xlfn.ANCHORARRAY(D227)))),1)</f>
        <v>1</v>
      </c>
      <c r="H254" s="75">
        <f>H255+0.25%</f>
        <v>0.10750000000000001</v>
      </c>
      <c r="I254" s="78">
        <v>1</v>
      </c>
      <c r="J254" s="79">
        <v>1</v>
      </c>
      <c r="K254" s="79">
        <v>1</v>
      </c>
      <c r="L254" s="79">
        <v>1</v>
      </c>
      <c r="M254" s="79">
        <v>1</v>
      </c>
    </row>
    <row r="255" spans="1:19" x14ac:dyDescent="0.25">
      <c r="G255" s="6"/>
      <c r="H255" s="75">
        <f>H256+0.25%</f>
        <v>0.10500000000000001</v>
      </c>
      <c r="I255" s="78">
        <v>1</v>
      </c>
      <c r="J255" s="79">
        <v>1</v>
      </c>
      <c r="K255" s="79">
        <v>1</v>
      </c>
      <c r="L255" s="79">
        <v>1</v>
      </c>
      <c r="M255" s="79">
        <v>1</v>
      </c>
    </row>
    <row r="256" spans="1:19" x14ac:dyDescent="0.25">
      <c r="C256" s="1" t="str">
        <f>"Enterprise Value"</f>
        <v>Enterprise Value</v>
      </c>
      <c r="D256" s="1">
        <f ca="1">IFERROR(SUM(D253:D254),1)</f>
        <v>2</v>
      </c>
      <c r="H256" s="75">
        <f>H257+0.25%</f>
        <v>0.10250000000000001</v>
      </c>
      <c r="I256" s="78">
        <v>1</v>
      </c>
      <c r="J256" s="79">
        <v>1</v>
      </c>
      <c r="K256" s="79">
        <v>1</v>
      </c>
      <c r="L256" s="79">
        <v>1</v>
      </c>
      <c r="M256" s="79">
        <v>1</v>
      </c>
    </row>
    <row r="257" spans="1:13" x14ac:dyDescent="0.25">
      <c r="C257" s="1" t="str">
        <f>$C$55</f>
        <v>Net Debt</v>
      </c>
      <c r="D257" s="1" cm="1">
        <f t="array" aca="1" ref="D257" ca="1">IFERROR(_xlfn.XLOOKUP(D7,_xlfn.ANCHORARRAY($D$13),_xlfn.ANCHORARRAY(D58)),1)</f>
        <v>1</v>
      </c>
      <c r="G257" s="13" t="str">
        <f>$C$8</f>
        <v>Weighted-Average Cost of Capital</v>
      </c>
      <c r="H257" s="75">
        <f>10%</f>
        <v>0.1</v>
      </c>
      <c r="I257" s="78">
        <v>1</v>
      </c>
      <c r="J257" s="79">
        <v>1</v>
      </c>
      <c r="K257" s="79">
        <v>1</v>
      </c>
      <c r="L257" s="79">
        <v>1</v>
      </c>
      <c r="M257" s="79">
        <v>1</v>
      </c>
    </row>
    <row r="258" spans="1:13" x14ac:dyDescent="0.25">
      <c r="C258" s="1" t="str">
        <f>"Equity Value"</f>
        <v>Equity Value</v>
      </c>
      <c r="D258" s="1">
        <f ca="1">IFERROR(D256-D257,1)</f>
        <v>1</v>
      </c>
      <c r="H258" s="75">
        <f>H257-0.25%</f>
        <v>9.7500000000000003E-2</v>
      </c>
      <c r="I258" s="78">
        <v>1</v>
      </c>
      <c r="J258" s="79">
        <v>1</v>
      </c>
      <c r="K258" s="79">
        <v>1</v>
      </c>
      <c r="L258" s="79">
        <v>1</v>
      </c>
      <c r="M258" s="79">
        <v>1</v>
      </c>
    </row>
    <row r="259" spans="1:13" x14ac:dyDescent="0.25">
      <c r="H259" s="75">
        <f>H258-0.25%</f>
        <v>9.5000000000000001E-2</v>
      </c>
      <c r="I259" s="78">
        <v>1</v>
      </c>
      <c r="J259" s="79">
        <v>1</v>
      </c>
      <c r="K259" s="79">
        <v>1</v>
      </c>
      <c r="L259" s="79">
        <v>1</v>
      </c>
      <c r="M259" s="79">
        <v>1</v>
      </c>
    </row>
    <row r="260" spans="1:13" x14ac:dyDescent="0.25">
      <c r="C260" s="1" t="str">
        <f>_xlfn.TEXTBEFORE($C$53," as")</f>
        <v>Diluted Shares Outstanding</v>
      </c>
      <c r="D260" s="1" cm="1">
        <f t="array" aca="1" ref="D260" ca="1">IFERROR(_xlfn.XLOOKUP(D7,_xlfn.ANCHORARRAY($D$13),_xlfn.ANCHORARRAY(D53)),1)</f>
        <v>1</v>
      </c>
      <c r="H260" s="75">
        <f>H259-0.25%</f>
        <v>9.2499999999999999E-2</v>
      </c>
      <c r="I260" s="78">
        <v>1</v>
      </c>
      <c r="J260" s="79">
        <v>1</v>
      </c>
      <c r="K260" s="79">
        <v>1</v>
      </c>
      <c r="L260" s="79">
        <v>1</v>
      </c>
      <c r="M260" s="79">
        <v>1</v>
      </c>
    </row>
    <row r="261" spans="1:13" x14ac:dyDescent="0.25">
      <c r="C261" s="1" t="str">
        <f>"Implied Share Price"</f>
        <v>Implied Share Price</v>
      </c>
      <c r="D261" s="29">
        <f ca="1">IFERROR(D258/D260,1)</f>
        <v>1</v>
      </c>
      <c r="H261" s="75">
        <f>H260-0.25%</f>
        <v>0.09</v>
      </c>
      <c r="I261" s="78">
        <v>1</v>
      </c>
      <c r="J261" s="79">
        <v>1</v>
      </c>
      <c r="K261" s="79">
        <v>1</v>
      </c>
      <c r="L261" s="79">
        <v>1</v>
      </c>
      <c r="M261" s="79">
        <v>1</v>
      </c>
    </row>
    <row r="262" spans="1:13" x14ac:dyDescent="0.25">
      <c r="C262" s="1" t="str">
        <f>"Current Share Price"</f>
        <v>Current Share Price</v>
      </c>
      <c r="D262" s="29" t="e">
        <f ca="1">$N$5</f>
        <v>#DIV/0!</v>
      </c>
      <c r="H262" s="75">
        <f>H261-0.25%</f>
        <v>8.7499999999999994E-2</v>
      </c>
      <c r="I262" s="78">
        <v>1</v>
      </c>
      <c r="J262" s="79">
        <v>1</v>
      </c>
      <c r="K262" s="79">
        <v>1</v>
      </c>
      <c r="L262" s="79">
        <v>1</v>
      </c>
      <c r="M262" s="79">
        <v>1</v>
      </c>
    </row>
    <row r="263" spans="1:13" x14ac:dyDescent="0.25">
      <c r="C263" s="25" t="str">
        <f>"Upside / Downside"</f>
        <v>Upside / Downside</v>
      </c>
      <c r="D263" s="5">
        <f ca="1">IFERROR(D261/D262-1,1)</f>
        <v>1</v>
      </c>
      <c r="H263" s="75">
        <f>H262-0.25%</f>
        <v>8.4999999999999992E-2</v>
      </c>
      <c r="I263" s="78">
        <v>1</v>
      </c>
      <c r="J263" s="79">
        <v>1</v>
      </c>
      <c r="K263" s="79">
        <v>1</v>
      </c>
      <c r="L263" s="79">
        <v>1</v>
      </c>
      <c r="M263" s="79">
        <v>1</v>
      </c>
    </row>
    <row r="264" spans="1:13" s="1" customFormat="1" x14ac:dyDescent="0.25">
      <c r="A264" s="40"/>
      <c r="B264" s="41"/>
    </row>
    <row r="265" spans="1:13" s="1" customFormat="1" outlineLevel="1" x14ac:dyDescent="0.25">
      <c r="A265" s="40"/>
      <c r="B265" s="41"/>
      <c r="C265" s="2" t="str">
        <f>C8</f>
        <v>Weighted-Average Cost of Capital</v>
      </c>
    </row>
    <row r="266" spans="1:13" s="1" customFormat="1" outlineLevel="1" x14ac:dyDescent="0.25">
      <c r="A266" s="61" t="str">
        <f>""</f>
        <v/>
      </c>
      <c r="B266" s="41"/>
      <c r="C266" s="10"/>
      <c r="D266" s="10"/>
    </row>
    <row r="267" spans="1:13" s="1" customFormat="1" outlineLevel="1" x14ac:dyDescent="0.25">
      <c r="A267" s="40"/>
      <c r="B267" s="41"/>
    </row>
    <row r="268" spans="1:13" s="1" customFormat="1" outlineLevel="1" x14ac:dyDescent="0.25">
      <c r="A268" s="40"/>
      <c r="B268" s="41"/>
      <c r="C268" s="1" t="str">
        <f>"Beta 3Y"</f>
        <v>Beta 3Y</v>
      </c>
      <c r="D268" s="87" cm="1">
        <f t="array" aca="1" ref="D268" ca="1">IFERROR(IFERROR(INDIRECT("'Public Company'!C"&amp;B269),SLOPE(_xlfn.LET(
  _xlpm.p, _xlfn.STOCKHISTORY(D3,EDATE(D7,-12*3),D7,0,0,1),
  _xlpm.n, ROWS(_xlpm.p),
  LN(INDEX(_xlpm.p, _xlfn.SEQUENCE(_xlpm.n-1)+1) / INDEX(_xlpm.p, _xlfn.SEQUENCE(_xlpm.n-1)))
),_xlfn.LET(
  _xlpm.p, _xlfn.STOCKHISTORY("^SPY",EDATE(D7,-12*3),D7,0,0,1),
  _xlpm.n, ROWS(_xlpm.p),
  LN(INDEX(_xlpm.p, _xlfn.SEQUENCE(_xlpm.n-1)+1) / INDEX(_xlpm.p, _xlfn.SEQUENCE(_xlpm.n-1)))
))),1)</f>
        <v>1</v>
      </c>
    </row>
    <row r="269" spans="1:13" s="1" customFormat="1" outlineLevel="1" x14ac:dyDescent="0.25">
      <c r="A269" s="40"/>
      <c r="B269" s="41" t="e">
        <f ca="1">_xlfn.XMATCH(C268,INDIRECT("'Public Company'!A:A"))</f>
        <v>#REF!</v>
      </c>
      <c r="C269" s="30" t="str">
        <f>"Risk-Free Rate"</f>
        <v>Risk-Free Rate</v>
      </c>
      <c r="D269" s="38">
        <f>4.194%</f>
        <v>4.1939999999999998E-2</v>
      </c>
    </row>
    <row r="270" spans="1:13" s="1" customFormat="1" outlineLevel="1" x14ac:dyDescent="0.25">
      <c r="A270" s="40"/>
      <c r="B270" s="41"/>
      <c r="C270" s="30" t="str">
        <f>"Market Risk Premium"</f>
        <v>Market Risk Premium</v>
      </c>
      <c r="D270" s="38">
        <f>4.33%</f>
        <v>4.3299999999999998E-2</v>
      </c>
    </row>
    <row r="271" spans="1:13" s="1" customFormat="1" outlineLevel="1" x14ac:dyDescent="0.25">
      <c r="A271" s="40"/>
      <c r="B271" s="41"/>
      <c r="C271" s="30" t="str">
        <f>"Country Risk Premium"</f>
        <v>Country Risk Premium</v>
      </c>
      <c r="D271" s="38">
        <f>0%</f>
        <v>0</v>
      </c>
    </row>
    <row r="272" spans="1:13" s="1" customFormat="1" outlineLevel="1" x14ac:dyDescent="0.25">
      <c r="A272" s="40"/>
      <c r="B272" s="41"/>
      <c r="C272" s="1" t="str">
        <f>"Capital Asset Pricing Model (CAPM)"</f>
        <v>Capital Asset Pricing Model (CAPM)</v>
      </c>
      <c r="D272" s="53">
        <f ca="1">D268*D270+D269+D271</f>
        <v>8.5239999999999996E-2</v>
      </c>
    </row>
    <row r="273" spans="1:4" s="1" customFormat="1" outlineLevel="1" x14ac:dyDescent="0.25">
      <c r="A273" s="40"/>
      <c r="B273" s="41"/>
    </row>
    <row r="274" spans="1:4" s="1" customFormat="1" outlineLevel="1" x14ac:dyDescent="0.25">
      <c r="A274" s="40"/>
      <c r="B274" s="41"/>
      <c r="C274" s="1" t="str">
        <f>"Total Debt/EBITDA (x)"</f>
        <v>Total Debt/EBITDA (x)</v>
      </c>
      <c r="D274" s="52" cm="1">
        <f t="array" aca="1" ref="D274" ca="1">IFERROR(INDIRECT("'Public Company'!B"&amp;B275),D239/D275)</f>
        <v>1</v>
      </c>
    </row>
    <row r="275" spans="1:4" s="1" customFormat="1" outlineLevel="1" x14ac:dyDescent="0.25">
      <c r="A275" s="40"/>
      <c r="B275" s="41" t="e">
        <f ca="1">_xlfn.XMATCH(C274,INDIRECT("'Public Company'!A:A"))</f>
        <v>#REF!</v>
      </c>
      <c r="C275" s="1" t="str">
        <f>"EBITDA"</f>
        <v>EBITDA</v>
      </c>
      <c r="D275" s="40">
        <f ca="1">IFERROR(_xlfn.XLOOKUP(D7,13:13,18:18),1)</f>
        <v>1</v>
      </c>
    </row>
    <row r="276" spans="1:4" s="1" customFormat="1" outlineLevel="1" x14ac:dyDescent="0.25">
      <c r="A276" s="40"/>
      <c r="B276" s="41"/>
      <c r="C276" s="1" t="str">
        <f>"Total Debt"</f>
        <v>Total Debt</v>
      </c>
      <c r="D276" s="40">
        <f ca="1">IFERROR(D274*D275,1)</f>
        <v>1</v>
      </c>
    </row>
    <row r="277" spans="1:4" s="1" customFormat="1" outlineLevel="1" x14ac:dyDescent="0.25">
      <c r="A277" s="40"/>
      <c r="B277" s="41"/>
      <c r="C277" s="1" t="str">
        <f>C60</f>
        <v>Interest Expense</v>
      </c>
      <c r="D277" s="40">
        <f ca="1">IFERROR(_xlfn.XLOOKUP(D7,13:13,60:60),1)</f>
        <v>1</v>
      </c>
    </row>
    <row r="278" spans="1:4" s="1" customFormat="1" outlineLevel="1" x14ac:dyDescent="0.25">
      <c r="A278" s="40"/>
      <c r="B278" s="41"/>
      <c r="C278" s="1" t="str">
        <f>"Long-Term Tax-RATE"</f>
        <v>Long-Term Tax-RATE</v>
      </c>
      <c r="D278" s="43" cm="1">
        <f t="array" aca="1" ref="D278" ca="1">IFERROR(INDEX(_xlfn.ANCHORARRAY(D95),,COUNTA(_xlfn.ANCHORARRAY(D95))),1)</f>
        <v>1</v>
      </c>
    </row>
    <row r="279" spans="1:4" s="1" customFormat="1" outlineLevel="1" x14ac:dyDescent="0.25">
      <c r="A279" s="40"/>
      <c r="B279" s="41"/>
      <c r="C279" s="1" t="str">
        <f>"After-Tax Cost of Debt"</f>
        <v>After-Tax Cost of Debt</v>
      </c>
      <c r="D279" s="43">
        <f ca="1">IFERROR((D277/D276)*(1-D278),1)</f>
        <v>0</v>
      </c>
    </row>
    <row r="280" spans="1:4" s="1" customFormat="1" outlineLevel="1" x14ac:dyDescent="0.25">
      <c r="A280" s="40"/>
      <c r="B280" s="41"/>
    </row>
    <row r="281" spans="1:4" s="1" customFormat="1" outlineLevel="1" x14ac:dyDescent="0.25">
      <c r="A281" s="40"/>
      <c r="B281" s="41"/>
      <c r="C281" s="1" t="str">
        <f>"Share Price"</f>
        <v>Share Price</v>
      </c>
      <c r="D281" s="40" t="e">
        <f ca="1">N5</f>
        <v>#DIV/0!</v>
      </c>
    </row>
    <row r="282" spans="1:4" s="1" customFormat="1" outlineLevel="1" x14ac:dyDescent="0.25">
      <c r="A282" s="40"/>
      <c r="B282" s="41"/>
      <c r="C282" s="1" t="str">
        <f>"Diluted Shares"</f>
        <v>Diluted Shares</v>
      </c>
      <c r="D282" s="40">
        <f ca="1">IFERROR(D260,1)</f>
        <v>1</v>
      </c>
    </row>
    <row r="283" spans="1:4" s="1" customFormat="1" outlineLevel="1" x14ac:dyDescent="0.25">
      <c r="A283" s="40"/>
      <c r="B283" s="41"/>
      <c r="C283" s="1" t="str">
        <f>"Market Capitalization"</f>
        <v>Market Capitalization</v>
      </c>
      <c r="D283" s="40">
        <f ca="1">IFERROR(D281*D282,1)</f>
        <v>1</v>
      </c>
    </row>
    <row r="284" spans="1:4" s="1" customFormat="1" outlineLevel="1" x14ac:dyDescent="0.25">
      <c r="A284" s="40"/>
      <c r="B284" s="41"/>
    </row>
    <row r="285" spans="1:4" s="1" customFormat="1" outlineLevel="1" x14ac:dyDescent="0.25">
      <c r="A285" s="40"/>
      <c r="B285" s="41"/>
      <c r="C285" s="1" t="str">
        <f>C257</f>
        <v>Net Debt</v>
      </c>
      <c r="D285" s="40">
        <f ca="1">IFERROR(D257,1)</f>
        <v>1</v>
      </c>
    </row>
    <row r="286" spans="1:4" s="1" customFormat="1" outlineLevel="1" x14ac:dyDescent="0.25">
      <c r="A286" s="40"/>
      <c r="B286" s="41"/>
      <c r="C286" s="1" t="str">
        <f>"% Equity"</f>
        <v>% Equity</v>
      </c>
      <c r="D286" s="43">
        <f ca="1">IFERROR(D283/(SUM($D$283:$D$285)),1)</f>
        <v>0.5</v>
      </c>
    </row>
    <row r="287" spans="1:4" s="1" customFormat="1" outlineLevel="1" x14ac:dyDescent="0.25">
      <c r="A287" s="40"/>
      <c r="B287" s="41"/>
      <c r="C287" s="1" t="str">
        <f>"% Debt"</f>
        <v>% Debt</v>
      </c>
      <c r="D287" s="43">
        <f ca="1">IFERROR(D285/(SUM($D$283:$D$285)),1)</f>
        <v>0.5</v>
      </c>
    </row>
    <row r="288" spans="1:4" s="1" customFormat="1" outlineLevel="1" x14ac:dyDescent="0.25">
      <c r="A288" s="40"/>
      <c r="B288" s="41"/>
      <c r="C288" s="1" t="str">
        <f>"Weighted-Average Cost of Capital"</f>
        <v>Weighted-Average Cost of Capital</v>
      </c>
      <c r="D288" s="54">
        <f ca="1">D286*D272+D287*D279</f>
        <v>4.2619999999999998E-2</v>
      </c>
    </row>
    <row r="289" spans="1:19" s="40" customFormat="1" outlineLevel="1" x14ac:dyDescent="0.25">
      <c r="B289" s="41"/>
    </row>
    <row r="290" spans="1:19" s="1" customFormat="1" x14ac:dyDescent="0.25">
      <c r="A290" s="40"/>
      <c r="B290" s="41"/>
      <c r="C290" s="2" t="s">
        <v>8</v>
      </c>
      <c r="D290" s="11" cm="1">
        <f t="array" aca="1" ref="D290" ca="1">IFERROR(IF(INDIRECT("Sheet1!B8")&lt;&gt;"",1,0),0)</f>
        <v>0</v>
      </c>
    </row>
    <row r="291" spans="1:19" s="10" customFormat="1" x14ac:dyDescent="0.25">
      <c r="A291" s="68" t="str">
        <f>""</f>
        <v/>
      </c>
      <c r="B291" s="69"/>
    </row>
    <row r="292" spans="1:19" s="89" customFormat="1" x14ac:dyDescent="0.25">
      <c r="A292" s="88"/>
      <c r="B292" s="41"/>
    </row>
    <row r="293" spans="1:19" s="89" customFormat="1" ht="30" x14ac:dyDescent="0.25">
      <c r="A293" s="88"/>
      <c r="B293" s="41"/>
      <c r="C293" s="112" t="s">
        <v>9</v>
      </c>
      <c r="D293" s="112" t="s">
        <v>10</v>
      </c>
      <c r="E293" s="112" t="s">
        <v>11</v>
      </c>
      <c r="F293" s="113" t="s">
        <v>1</v>
      </c>
      <c r="G293" s="113"/>
      <c r="H293" s="113" t="s">
        <v>21</v>
      </c>
      <c r="I293" s="113"/>
      <c r="J293" s="112" t="s">
        <v>24</v>
      </c>
      <c r="K293" s="113" t="s">
        <v>22</v>
      </c>
      <c r="L293" s="113"/>
      <c r="M293" s="113"/>
      <c r="N293" s="113" t="s">
        <v>12</v>
      </c>
      <c r="O293" s="113"/>
      <c r="P293" s="112" t="s">
        <v>26</v>
      </c>
      <c r="Q293" s="112" t="s">
        <v>13</v>
      </c>
      <c r="R293" s="112" t="s">
        <v>14</v>
      </c>
      <c r="S293" s="112" t="s">
        <v>23</v>
      </c>
    </row>
    <row r="294" spans="1:19" s="89" customFormat="1" ht="30" x14ac:dyDescent="0.25">
      <c r="A294" s="88"/>
      <c r="B294" s="41"/>
      <c r="C294" s="112"/>
      <c r="D294" s="112"/>
      <c r="E294" s="112"/>
      <c r="F294" s="114" t="s">
        <v>15</v>
      </c>
      <c r="G294" s="114" t="s">
        <v>19</v>
      </c>
      <c r="H294" s="114" t="s">
        <v>20</v>
      </c>
      <c r="I294" s="114" t="s">
        <v>25</v>
      </c>
      <c r="J294" s="112"/>
      <c r="K294" s="114" t="s">
        <v>3</v>
      </c>
      <c r="L294" s="114" t="s">
        <v>4</v>
      </c>
      <c r="M294" s="114" t="s">
        <v>5</v>
      </c>
      <c r="N294" s="114" t="s">
        <v>16</v>
      </c>
      <c r="O294" s="114" t="s">
        <v>17</v>
      </c>
      <c r="P294" s="112"/>
      <c r="Q294" s="112"/>
      <c r="R294" s="112"/>
      <c r="S294" s="112"/>
    </row>
    <row r="295" spans="1:19" s="89" customFormat="1" x14ac:dyDescent="0.25">
      <c r="A295" s="88"/>
      <c r="B295" s="41"/>
      <c r="C295" s="90" t="e" cm="1">
        <f t="array" aca="1" ref="C295" ca="1">_xlfn.TEXTBEFORE(INDIRECT("Sheet1!B8")," (")</f>
        <v>#REF!</v>
      </c>
      <c r="D295" s="91" t="e" cm="1">
        <f t="array" aca="1" ref="D295" ca="1">_xlfn.TEXTBEFORE(_xlfn.TEXTAFTER(INDIRECT("Sheet1!B8"),"("),")")</f>
        <v>#REF!</v>
      </c>
      <c r="E295" s="119" t="e" cm="1">
        <f t="array" aca="1" ref="E295" ca="1">_xlfn.XLOOKUP("SP_PERIOD_END",INDIRECT("312:312"),INDIRECT("315:325"))</f>
        <v>#N/A</v>
      </c>
      <c r="F295" s="92" t="e" cm="1">
        <f t="array" aca="1" ref="F295" ca="1">_xlfn.XLOOKUP("SP_PRICE_CLOSE",INDIRECT("312:312"),INDIRECT("315:330"))</f>
        <v>#N/A</v>
      </c>
      <c r="G295" s="93" t="e" cm="1">
        <f t="array" aca="1" ref="G295" ca="1">_xlfn.XLOOKUP("SP_MARKETCAP",INDIRECT("312:312"),INDIRECT("315:330"))</f>
        <v>#N/A</v>
      </c>
      <c r="H295" s="93" t="e" cm="1">
        <f t="array" aca="1" ref="H295" ca="1">_xlfn.XLOOKUP("SP_TOTAL_DEBT",INDIRECT("312:312"),INDIRECT("315:330"))/1000</f>
        <v>#N/A</v>
      </c>
      <c r="I295" s="93" t="e" cm="1">
        <f t="array" aca="1" ref="I295" ca="1">_xlfn.XLOOKUP("SP_NONCONTROLLING_INTS",INDIRECT("312:312"),INDIRECT("315:330"))</f>
        <v>#N/A</v>
      </c>
      <c r="J295" s="93" t="e" cm="1">
        <f t="array" aca="1" ref="J295" ca="1">_xlfn.XLOOKUP("IQ_TEV",INDIRECT("312:312"),INDIRECT("315:330"))</f>
        <v>#N/A</v>
      </c>
      <c r="K295" s="93" t="e" cm="1">
        <f t="array" aca="1" ref="K295" ca="1">_xlfn.XLOOKUP("SP_TOTAL_REV",INDIRECT("312:312"),INDIRECT("315:330"))/1000</f>
        <v>#N/A</v>
      </c>
      <c r="L295" s="93" t="e" cm="1">
        <f t="array" aca="1" ref="L295" ca="1">_xlfn.XLOOKUP("SP_EBITDA",INDIRECT("312:312"),INDIRECT("315:330"))/1000</f>
        <v>#N/A</v>
      </c>
      <c r="M295" s="93" t="e" cm="1">
        <f t="array" aca="1" ref="M295" ca="1">_xlfn.XLOOKUP("SP_EBIT",INDIRECT("312:312"),INDIRECT("315:330"))/1000</f>
        <v>#N/A</v>
      </c>
      <c r="N295" s="94" t="str" cm="1">
        <f t="array" aca="1" ref="N295" ca="1">IFERROR(_xlfn.ANCHORARRAY(J295)/_xlfn.ANCHORARRAY(L295),"")</f>
        <v/>
      </c>
      <c r="O295" s="94" t="e" cm="1">
        <f t="array" aca="1" ref="O295" ca="1">_xlfn.XLOOKUP("IQ_PE",INDIRECT("312:312"),INDIRECT("315:330"))</f>
        <v>#N/A</v>
      </c>
      <c r="P295" s="92" t="e" cm="1">
        <f t="array" aca="1" ref="P295" ca="1">_xlfn.XLOOKUP("SP_DILUT_EPS_AFTER_EXTRA",INDIRECT("312:312"),INDIRECT("315:330"))</f>
        <v>#N/A</v>
      </c>
      <c r="Q295" s="92" t="e" cm="1">
        <f t="array" aca="1" ref="Q295" ca="1">_xlfn.XLOOKUP("SP_BVPS",INDIRECT("312:312"),INDIRECT("315:330"))</f>
        <v>#N/A</v>
      </c>
      <c r="R295" s="94" t="e" cm="1">
        <f t="array" aca="1" ref="R295" ca="1">_xlfn.XLOOKUP("IQ_PTBV_X",INDIRECT("312:312"),INDIRECT("315:330"))</f>
        <v>#N/A</v>
      </c>
      <c r="S295" s="93" t="e" cm="1">
        <f t="array" aca="1" ref="S295" ca="1">_xlfn.XLOOKUP("SP_NET_INC",INDIRECT("312:312"),INDIRECT("315:330"))/1000</f>
        <v>#N/A</v>
      </c>
    </row>
    <row r="296" spans="1:19" s="89" customFormat="1" x14ac:dyDescent="0.25">
      <c r="A296" s="88"/>
      <c r="B296" s="41"/>
      <c r="C296" s="95" t="e" cm="1">
        <f t="array" aca="1" ref="C296" ca="1">_xlfn.TEXTBEFORE(INDIRECT("Sheet1!B9")," (")</f>
        <v>#REF!</v>
      </c>
      <c r="D296" s="96" t="e" cm="1">
        <f t="array" aca="1" ref="D296" ca="1">_xlfn.TEXTBEFORE(_xlfn.TEXTAFTER(INDIRECT("Sheet1!B9"),"("),")")</f>
        <v>#REF!</v>
      </c>
      <c r="E296" s="120"/>
      <c r="F296" s="97"/>
      <c r="G296" s="98"/>
      <c r="H296" s="98"/>
      <c r="I296" s="98"/>
      <c r="J296" s="98"/>
      <c r="K296" s="98"/>
      <c r="L296" s="98"/>
      <c r="M296" s="98"/>
      <c r="N296" s="99"/>
      <c r="O296" s="99"/>
      <c r="P296" s="97"/>
      <c r="Q296" s="97"/>
      <c r="R296" s="99"/>
      <c r="S296" s="98"/>
    </row>
    <row r="297" spans="1:19" s="89" customFormat="1" x14ac:dyDescent="0.25">
      <c r="A297" s="88"/>
      <c r="B297" s="41"/>
      <c r="C297" s="90" t="e" cm="1">
        <f t="array" aca="1" ref="C297" ca="1">_xlfn.TEXTBEFORE(INDIRECT("Sheet1!B10")," (")</f>
        <v>#REF!</v>
      </c>
      <c r="D297" s="91" t="e" cm="1">
        <f t="array" aca="1" ref="D297" ca="1">_xlfn.TEXTBEFORE(_xlfn.TEXTAFTER(INDIRECT("Sheet1!B10"),"("),")")</f>
        <v>#REF!</v>
      </c>
      <c r="E297" s="119"/>
      <c r="F297" s="92"/>
      <c r="G297" s="93"/>
      <c r="H297" s="93"/>
      <c r="I297" s="93"/>
      <c r="J297" s="93"/>
      <c r="K297" s="93"/>
      <c r="L297" s="93"/>
      <c r="M297" s="93"/>
      <c r="N297" s="94"/>
      <c r="O297" s="94"/>
      <c r="P297" s="92"/>
      <c r="Q297" s="92"/>
      <c r="R297" s="94"/>
      <c r="S297" s="93"/>
    </row>
    <row r="298" spans="1:19" s="89" customFormat="1" x14ac:dyDescent="0.25">
      <c r="A298" s="88"/>
      <c r="B298" s="41"/>
      <c r="C298" s="95" t="e" cm="1">
        <f t="array" aca="1" ref="C298" ca="1">_xlfn.TEXTBEFORE(INDIRECT("Sheet1!B11")," (")</f>
        <v>#REF!</v>
      </c>
      <c r="D298" s="96" t="e" cm="1">
        <f t="array" aca="1" ref="D298" ca="1">_xlfn.TEXTBEFORE(_xlfn.TEXTAFTER(INDIRECT("Sheet1!B11"),"("),")")</f>
        <v>#REF!</v>
      </c>
      <c r="E298" s="120"/>
      <c r="F298" s="97"/>
      <c r="G298" s="98"/>
      <c r="H298" s="98"/>
      <c r="I298" s="98"/>
      <c r="J298" s="98"/>
      <c r="K298" s="98"/>
      <c r="L298" s="98"/>
      <c r="M298" s="98"/>
      <c r="N298" s="99"/>
      <c r="O298" s="99"/>
      <c r="P298" s="97"/>
      <c r="Q298" s="97"/>
      <c r="R298" s="99"/>
      <c r="S298" s="98"/>
    </row>
    <row r="299" spans="1:19" s="89" customFormat="1" x14ac:dyDescent="0.25">
      <c r="A299" s="88"/>
      <c r="B299" s="41"/>
      <c r="C299" s="90" t="e" cm="1">
        <f t="array" aca="1" ref="C299" ca="1">_xlfn.TEXTBEFORE(INDIRECT("Sheet1!B12")," (")</f>
        <v>#REF!</v>
      </c>
      <c r="D299" s="91" t="e" cm="1">
        <f t="array" aca="1" ref="D299" ca="1">_xlfn.TEXTBEFORE(_xlfn.TEXTAFTER(INDIRECT("Sheet1!B12"),"("),")")</f>
        <v>#REF!</v>
      </c>
      <c r="E299" s="119"/>
      <c r="F299" s="92"/>
      <c r="G299" s="93"/>
      <c r="H299" s="93"/>
      <c r="I299" s="93"/>
      <c r="J299" s="93"/>
      <c r="K299" s="93"/>
      <c r="L299" s="93"/>
      <c r="M299" s="93"/>
      <c r="N299" s="94"/>
      <c r="O299" s="94"/>
      <c r="P299" s="92"/>
      <c r="Q299" s="92"/>
      <c r="R299" s="94"/>
      <c r="S299" s="93"/>
    </row>
    <row r="300" spans="1:19" s="89" customFormat="1" x14ac:dyDescent="0.25">
      <c r="A300" s="88"/>
      <c r="B300" s="41"/>
      <c r="C300" s="95" t="e" cm="1">
        <f t="array" aca="1" ref="C300" ca="1">_xlfn.TEXTBEFORE(INDIRECT("Sheet1!B13")," (")</f>
        <v>#REF!</v>
      </c>
      <c r="D300" s="96" t="e" cm="1">
        <f t="array" aca="1" ref="D300" ca="1">_xlfn.TEXTBEFORE(_xlfn.TEXTAFTER(INDIRECT("Sheet1!B13"),"("),")")</f>
        <v>#REF!</v>
      </c>
      <c r="E300" s="120"/>
      <c r="F300" s="97"/>
      <c r="G300" s="98"/>
      <c r="H300" s="98"/>
      <c r="I300" s="98"/>
      <c r="J300" s="98"/>
      <c r="K300" s="98"/>
      <c r="L300" s="98"/>
      <c r="M300" s="98"/>
      <c r="N300" s="99"/>
      <c r="O300" s="99"/>
      <c r="P300" s="97"/>
      <c r="Q300" s="97"/>
      <c r="R300" s="99"/>
      <c r="S300" s="98"/>
    </row>
    <row r="301" spans="1:19" s="89" customFormat="1" x14ac:dyDescent="0.25">
      <c r="A301" s="88"/>
      <c r="B301" s="41"/>
      <c r="C301" s="90" t="e" cm="1">
        <f t="array" aca="1" ref="C301" ca="1">_xlfn.TEXTBEFORE(INDIRECT("Sheet1!B14")," (")</f>
        <v>#REF!</v>
      </c>
      <c r="D301" s="91" t="e" cm="1">
        <f t="array" aca="1" ref="D301" ca="1">_xlfn.TEXTBEFORE(_xlfn.TEXTAFTER(INDIRECT("Sheet1!B14"),"("),")")</f>
        <v>#REF!</v>
      </c>
      <c r="E301" s="119"/>
      <c r="F301" s="92"/>
      <c r="G301" s="93"/>
      <c r="H301" s="93"/>
      <c r="I301" s="93"/>
      <c r="J301" s="93"/>
      <c r="K301" s="93"/>
      <c r="L301" s="93"/>
      <c r="M301" s="93"/>
      <c r="N301" s="94"/>
      <c r="O301" s="94"/>
      <c r="P301" s="92"/>
      <c r="Q301" s="92"/>
      <c r="R301" s="94"/>
      <c r="S301" s="93"/>
    </row>
    <row r="302" spans="1:19" s="89" customFormat="1" x14ac:dyDescent="0.25">
      <c r="A302" s="88"/>
      <c r="B302" s="41"/>
      <c r="C302" s="95" t="e" cm="1">
        <f t="array" aca="1" ref="C302" ca="1">_xlfn.TEXTBEFORE(INDIRECT("Sheet1!B15")," (")</f>
        <v>#REF!</v>
      </c>
      <c r="D302" s="96" t="e" cm="1">
        <f t="array" aca="1" ref="D302" ca="1">_xlfn.TEXTBEFORE(_xlfn.TEXTAFTER(INDIRECT("Sheet1!B15"),"("),")")</f>
        <v>#REF!</v>
      </c>
      <c r="E302" s="120"/>
      <c r="F302" s="97"/>
      <c r="G302" s="98"/>
      <c r="H302" s="98"/>
      <c r="I302" s="98"/>
      <c r="J302" s="98"/>
      <c r="K302" s="98"/>
      <c r="L302" s="98"/>
      <c r="M302" s="98"/>
      <c r="N302" s="99"/>
      <c r="O302" s="99"/>
      <c r="P302" s="97"/>
      <c r="Q302" s="97"/>
      <c r="R302" s="99"/>
      <c r="S302" s="98"/>
    </row>
    <row r="303" spans="1:19" s="89" customFormat="1" x14ac:dyDescent="0.25">
      <c r="A303" s="88"/>
      <c r="B303" s="41"/>
      <c r="C303" s="90" t="e" cm="1">
        <f t="array" aca="1" ref="C303" ca="1">_xlfn.TEXTBEFORE(INDIRECT("Sheet1!B16")," (")</f>
        <v>#REF!</v>
      </c>
      <c r="D303" s="91" t="e" cm="1">
        <f t="array" aca="1" ref="D303" ca="1">_xlfn.TEXTBEFORE(_xlfn.TEXTAFTER(INDIRECT("Sheet1!B16"),"("),")")</f>
        <v>#REF!</v>
      </c>
      <c r="E303" s="119"/>
      <c r="F303" s="92"/>
      <c r="G303" s="93"/>
      <c r="H303" s="93"/>
      <c r="I303" s="93"/>
      <c r="J303" s="93"/>
      <c r="K303" s="93"/>
      <c r="L303" s="93"/>
      <c r="M303" s="93"/>
      <c r="N303" s="94"/>
      <c r="O303" s="94"/>
      <c r="P303" s="92"/>
      <c r="Q303" s="92"/>
      <c r="R303" s="94"/>
      <c r="S303" s="93"/>
    </row>
    <row r="304" spans="1:19" s="89" customFormat="1" ht="15.75" thickBot="1" x14ac:dyDescent="0.3">
      <c r="A304" s="88"/>
      <c r="B304" s="41"/>
      <c r="C304" s="95" t="e" cm="1">
        <f t="array" aca="1" ref="C304" ca="1">_xlfn.TEXTBEFORE(INDIRECT("Sheet1!B17")," (")</f>
        <v>#REF!</v>
      </c>
      <c r="D304" s="96" t="e" cm="1">
        <f t="array" aca="1" ref="D304" ca="1">_xlfn.TEXTBEFORE(_xlfn.TEXTAFTER(INDIRECT("Sheet1!B17"),"("),")")</f>
        <v>#REF!</v>
      </c>
      <c r="E304" s="120"/>
      <c r="F304" s="97"/>
      <c r="G304" s="98"/>
      <c r="H304" s="98"/>
      <c r="I304" s="98"/>
      <c r="J304" s="98"/>
      <c r="K304" s="98"/>
      <c r="L304" s="98"/>
      <c r="M304" s="98"/>
      <c r="N304" s="99"/>
      <c r="O304" s="99"/>
      <c r="P304" s="97"/>
      <c r="Q304" s="97"/>
      <c r="R304" s="99"/>
      <c r="S304" s="98"/>
    </row>
    <row r="305" spans="1:61" customFormat="1" x14ac:dyDescent="0.25">
      <c r="A305" s="88"/>
      <c r="B305" s="41"/>
      <c r="C305" s="100" t="e" cm="1">
        <f t="array" aca="1" ref="C305" ca="1">_xlfn.TEXTBEFORE(INDIRECT("Sheet1!B18")," (")</f>
        <v>#REF!</v>
      </c>
      <c r="D305" s="101" t="e" cm="1">
        <f t="array" aca="1" ref="D305" ca="1">_xlfn.TEXTBEFORE(_xlfn.TEXTAFTER(INDIRECT("Sheet1!B18"),"("),")")</f>
        <v>#REF!</v>
      </c>
      <c r="E305" s="121"/>
      <c r="F305" s="102"/>
      <c r="G305" s="103"/>
      <c r="H305" s="104"/>
      <c r="I305" s="104"/>
      <c r="J305" s="103"/>
      <c r="K305" s="104"/>
      <c r="L305" s="104"/>
      <c r="M305" s="104"/>
      <c r="N305" s="105"/>
      <c r="O305" s="105"/>
      <c r="P305" s="107"/>
      <c r="Q305" s="107"/>
      <c r="R305" s="106"/>
      <c r="S305" s="104"/>
    </row>
    <row r="306" spans="1:61" customFormat="1" x14ac:dyDescent="0.25">
      <c r="C306" s="118"/>
      <c r="D306" s="118"/>
      <c r="E306" s="118"/>
      <c r="F306" s="118"/>
      <c r="G306" s="118"/>
      <c r="H306" s="118"/>
      <c r="I306" s="118"/>
      <c r="J306" s="118"/>
      <c r="K306" s="118"/>
      <c r="L306" s="118"/>
      <c r="M306" s="118"/>
      <c r="N306" s="118"/>
      <c r="O306" s="118"/>
      <c r="P306" s="118"/>
      <c r="Q306" s="118"/>
      <c r="R306" s="118"/>
      <c r="S306" s="118"/>
    </row>
    <row r="307" spans="1:61" customFormat="1" x14ac:dyDescent="0.25">
      <c r="A307" s="88"/>
      <c r="B307" s="41"/>
      <c r="C307" s="115" t="s">
        <v>6</v>
      </c>
      <c r="D307" s="116"/>
      <c r="E307" s="117"/>
      <c r="F307" s="108"/>
      <c r="G307" s="109"/>
      <c r="H307" s="109"/>
      <c r="I307" s="109"/>
      <c r="J307" s="109"/>
      <c r="K307" s="109"/>
      <c r="L307" s="109"/>
      <c r="M307" s="109"/>
      <c r="N307" s="110"/>
      <c r="O307" s="111"/>
      <c r="P307" s="108"/>
      <c r="Q307" s="108"/>
      <c r="R307" s="111"/>
      <c r="S307" s="109"/>
    </row>
    <row r="308" spans="1:61" customFormat="1" x14ac:dyDescent="0.25">
      <c r="A308" s="88"/>
      <c r="B308" s="41"/>
      <c r="C308" s="115" t="s">
        <v>2</v>
      </c>
      <c r="D308" s="116"/>
      <c r="E308" s="117"/>
      <c r="F308" s="108"/>
      <c r="G308" s="109"/>
      <c r="H308" s="109"/>
      <c r="I308" s="109"/>
      <c r="J308" s="109"/>
      <c r="K308" s="109"/>
      <c r="L308" s="109"/>
      <c r="M308" s="109"/>
      <c r="N308" s="110"/>
      <c r="O308" s="111"/>
      <c r="P308" s="108"/>
      <c r="Q308" s="108"/>
      <c r="R308" s="111"/>
      <c r="S308" s="109"/>
    </row>
    <row r="309" spans="1:61" s="89" customFormat="1" x14ac:dyDescent="0.25">
      <c r="A309" s="88"/>
      <c r="B309" s="41"/>
      <c r="C309" s="115" t="s">
        <v>18</v>
      </c>
      <c r="D309" s="116"/>
      <c r="E309" s="117"/>
      <c r="F309" s="108"/>
      <c r="G309" s="109"/>
      <c r="H309" s="109"/>
      <c r="I309" s="109"/>
      <c r="J309" s="109"/>
      <c r="K309" s="109"/>
      <c r="L309" s="109"/>
      <c r="M309" s="109"/>
      <c r="N309" s="110"/>
      <c r="O309" s="111"/>
      <c r="P309" s="108"/>
      <c r="Q309" s="108"/>
      <c r="R309" s="111"/>
      <c r="S309" s="109"/>
    </row>
    <row r="310" spans="1:61" s="89" customFormat="1" x14ac:dyDescent="0.25">
      <c r="A310" s="88"/>
      <c r="B310" s="41"/>
      <c r="C310" s="115" t="s">
        <v>7</v>
      </c>
      <c r="D310" s="116"/>
      <c r="E310" s="117"/>
      <c r="F310" s="108"/>
      <c r="G310" s="109"/>
      <c r="H310" s="109"/>
      <c r="I310" s="109"/>
      <c r="J310" s="109"/>
      <c r="K310" s="109"/>
      <c r="L310" s="109"/>
      <c r="M310" s="109"/>
      <c r="N310" s="110"/>
      <c r="O310" s="111"/>
      <c r="P310" s="108"/>
      <c r="Q310" s="108"/>
      <c r="R310" s="111"/>
      <c r="S310" s="109"/>
    </row>
    <row r="311" spans="1:61" s="89" customFormat="1" x14ac:dyDescent="0.25">
      <c r="A311" s="88"/>
      <c r="B311" s="41"/>
    </row>
    <row r="312" spans="1:61" s="89" customFormat="1" x14ac:dyDescent="0.25">
      <c r="A312" s="88"/>
      <c r="B312" s="41"/>
      <c r="C312" s="89" t="str" cm="1">
        <f t="array" aca="1" ref="C312" ca="1">IFERROR(_xlfn._xlws.FILTER(INDIRECT("Sheet1!5:23"),INDIRECT("Sheet1!5:5")&lt;&gt;""),"")</f>
        <v/>
      </c>
      <c r="AF312" s="89" t="str" cm="1">
        <f t="array" aca="1" ref="AF312" ca="1">IFERROR(_xlfn._xlws.FILTER(INDIRECT("Sheet2!5:23"),INDIRECT("Sheet2!5:5")&lt;&gt;""),"")</f>
        <v/>
      </c>
      <c r="BI312" s="89" t="str" cm="1">
        <f t="array" aca="1" ref="BI312" ca="1">IFERROR(_xlfn._xlws.FILTER(INDIRECT("Sheet3!5:23"),INDIRECT("Sheet3!5:5")&lt;&gt;""),"")</f>
        <v/>
      </c>
    </row>
    <row r="313" spans="1:61" s="89" customFormat="1" x14ac:dyDescent="0.25">
      <c r="A313" s="88"/>
      <c r="B313" s="41"/>
    </row>
    <row r="314" spans="1:61" s="89" customFormat="1" x14ac:dyDescent="0.25">
      <c r="A314" s="88"/>
      <c r="B314" s="41"/>
    </row>
    <row r="315" spans="1:61" s="89" customFormat="1" x14ac:dyDescent="0.25">
      <c r="A315" s="88"/>
      <c r="B315" s="41"/>
    </row>
    <row r="316" spans="1:61" s="89" customFormat="1" x14ac:dyDescent="0.25">
      <c r="A316" s="88"/>
      <c r="B316" s="41"/>
    </row>
    <row r="317" spans="1:61" s="89" customFormat="1" x14ac:dyDescent="0.25">
      <c r="A317" s="88"/>
      <c r="B317" s="41"/>
    </row>
    <row r="318" spans="1:61" s="1" customFormat="1" x14ac:dyDescent="0.25">
      <c r="A318" s="40"/>
      <c r="B318" s="41"/>
    </row>
    <row r="319" spans="1:61" s="1" customFormat="1" x14ac:dyDescent="0.25">
      <c r="A319" s="40"/>
      <c r="B319" s="41"/>
    </row>
    <row r="320" spans="1:61" s="1" customFormat="1" x14ac:dyDescent="0.25">
      <c r="A320" s="40"/>
      <c r="B320" s="41"/>
    </row>
    <row r="321" spans="1:2" s="1" customFormat="1" x14ac:dyDescent="0.25">
      <c r="A321" s="40"/>
      <c r="B321" s="41"/>
    </row>
    <row r="322" spans="1:2" s="1" customFormat="1" x14ac:dyDescent="0.25">
      <c r="A322" s="40"/>
      <c r="B322" s="41"/>
    </row>
    <row r="323" spans="1:2" s="1" customFormat="1" x14ac:dyDescent="0.25">
      <c r="A323" s="40"/>
      <c r="B323" s="41"/>
    </row>
    <row r="324" spans="1:2" s="1" customFormat="1" x14ac:dyDescent="0.25">
      <c r="A324" s="40"/>
      <c r="B324" s="41"/>
    </row>
    <row r="325" spans="1:2" s="1" customFormat="1" x14ac:dyDescent="0.25">
      <c r="A325" s="40"/>
      <c r="B325" s="41"/>
    </row>
    <row r="326" spans="1:2" s="1" customFormat="1" x14ac:dyDescent="0.25">
      <c r="A326" s="40"/>
      <c r="B326" s="41"/>
    </row>
    <row r="327" spans="1:2" s="1" customFormat="1" x14ac:dyDescent="0.25">
      <c r="A327" s="40"/>
      <c r="B327" s="41"/>
    </row>
    <row r="328" spans="1:2" s="1" customFormat="1" x14ac:dyDescent="0.25">
      <c r="A328" s="40"/>
      <c r="B328" s="41"/>
    </row>
    <row r="329" spans="1:2" s="1" customFormat="1" x14ac:dyDescent="0.25">
      <c r="A329" s="40"/>
      <c r="B329" s="41"/>
    </row>
    <row r="330" spans="1:2" s="1" customFormat="1" x14ac:dyDescent="0.25">
      <c r="A330" s="40"/>
      <c r="B330" s="41"/>
    </row>
    <row r="331" spans="1:2" s="1" customFormat="1" x14ac:dyDescent="0.25">
      <c r="A331" s="40"/>
      <c r="B331" s="41"/>
    </row>
    <row r="332" spans="1:2" s="1" customFormat="1" x14ac:dyDescent="0.25">
      <c r="A332" s="40"/>
      <c r="B332" s="41"/>
    </row>
    <row r="333" spans="1:2" s="1" customFormat="1" x14ac:dyDescent="0.25">
      <c r="A333" s="40"/>
      <c r="B333" s="41"/>
    </row>
    <row r="334" spans="1:2" s="1" customFormat="1" x14ac:dyDescent="0.25">
      <c r="A334" s="40"/>
      <c r="B334" s="41"/>
    </row>
    <row r="335" spans="1:2" s="1" customFormat="1" x14ac:dyDescent="0.25">
      <c r="A335" s="40"/>
      <c r="B335" s="41"/>
    </row>
    <row r="336" spans="1:2" s="1" customFormat="1" x14ac:dyDescent="0.25">
      <c r="A336" s="40"/>
      <c r="B336" s="41"/>
    </row>
    <row r="337" spans="1:2" s="1" customFormat="1" x14ac:dyDescent="0.25">
      <c r="A337" s="40"/>
      <c r="B337" s="41"/>
    </row>
    <row r="338" spans="1:2" s="1" customFormat="1" x14ac:dyDescent="0.25">
      <c r="A338" s="40"/>
      <c r="B338" s="41"/>
    </row>
    <row r="339" spans="1:2" s="1" customFormat="1" x14ac:dyDescent="0.25">
      <c r="A339" s="40"/>
      <c r="B339" s="41"/>
    </row>
    <row r="340" spans="1:2" s="1" customFormat="1" x14ac:dyDescent="0.25">
      <c r="A340" s="40"/>
      <c r="B340" s="41"/>
    </row>
    <row r="341" spans="1:2" s="1" customFormat="1" x14ac:dyDescent="0.25">
      <c r="A341" s="40"/>
      <c r="B341" s="41"/>
    </row>
    <row r="342" spans="1:2" s="1" customFormat="1" x14ac:dyDescent="0.25">
      <c r="A342" s="40"/>
      <c r="B342" s="41"/>
    </row>
    <row r="343" spans="1:2" s="1" customFormat="1" x14ac:dyDescent="0.25">
      <c r="A343" s="40"/>
      <c r="B343" s="41"/>
    </row>
    <row r="344" spans="1:2" s="1" customFormat="1" x14ac:dyDescent="0.25">
      <c r="A344" s="40"/>
      <c r="B344" s="41"/>
    </row>
    <row r="345" spans="1:2" s="1" customFormat="1" x14ac:dyDescent="0.25">
      <c r="A345" s="40"/>
      <c r="B345" s="41"/>
    </row>
    <row r="346" spans="1:2" s="1" customFormat="1" x14ac:dyDescent="0.25">
      <c r="A346" s="40"/>
      <c r="B346" s="41"/>
    </row>
    <row r="347" spans="1:2" s="1" customFormat="1" x14ac:dyDescent="0.25">
      <c r="A347" s="40"/>
      <c r="B347" s="41"/>
    </row>
    <row r="348" spans="1:2" s="1" customFormat="1" x14ac:dyDescent="0.25">
      <c r="A348" s="40"/>
      <c r="B348" s="41"/>
    </row>
    <row r="349" spans="1:2" s="1" customFormat="1" x14ac:dyDescent="0.25">
      <c r="A349" s="40"/>
      <c r="B349" s="41"/>
    </row>
    <row r="350" spans="1:2" s="1" customFormat="1" x14ac:dyDescent="0.25">
      <c r="A350" s="40"/>
      <c r="B350" s="41"/>
    </row>
  </sheetData>
  <mergeCells count="8">
    <mergeCell ref="Q293:Q294"/>
    <mergeCell ref="R293:R294"/>
    <mergeCell ref="S293:S294"/>
    <mergeCell ref="C293:C294"/>
    <mergeCell ref="D293:D294"/>
    <mergeCell ref="E293:E294"/>
    <mergeCell ref="J293:J294"/>
    <mergeCell ref="P293:P294"/>
  </mergeCells>
  <conditionalFormatting sqref="A290:XFD330">
    <cfRule type="expression" dxfId="0" priority="1">
      <formula>$D$290=0</formula>
    </cfRule>
  </conditionalFormatting>
  <dataValidations disablePrompts="1" count="1">
    <dataValidation type="list" allowBlank="1" showInputMessage="1" showErrorMessage="1" sqref="F8" xr:uid="{00000000-0002-0000-0000-000000000000}">
      <formula1>$H$5:$K$5</formula1>
    </dataValidation>
  </dataValidations>
  <hyperlinks>
    <hyperlink ref="C269" r:id="rId1" display="Risk-Free Rate" xr:uid="{00000000-0004-0000-0000-000000000000}"/>
    <hyperlink ref="C270" r:id="rId2" display="Market Risk Premium" xr:uid="{00000000-0004-0000-0000-000001000000}"/>
    <hyperlink ref="C271" r:id="rId3" display="Country Risk Premium" xr:uid="{00000000-0004-0000-0000-000002000000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ius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DCF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Dang Duong Nguyen</cp:lastModifiedBy>
  <dcterms:created xsi:type="dcterms:W3CDTF">2025-08-04T14:24:16Z</dcterms:created>
  <dcterms:modified xsi:type="dcterms:W3CDTF">2026-03-24T12:43:03Z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</Properties>
</file>